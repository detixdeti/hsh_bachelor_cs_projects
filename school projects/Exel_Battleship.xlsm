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0" yWindow="0" windowWidth="14835" windowHeight="6495" tabRatio="649" activeTab="4"/>
  </bookViews>
  <sheets>
    <sheet name="Einstellungen" sheetId="2" r:id="rId1"/>
    <sheet name="Lageplan Spieler 1" sheetId="3" r:id="rId2"/>
    <sheet name="Lageplan Spieler 2" sheetId="5" r:id="rId3"/>
    <sheet name="Spielplan Spieler 1" sheetId="4" r:id="rId4"/>
    <sheet name="Spielplan Spieler 2" sheetId="6" r:id="rId5"/>
  </sheets>
  <calcPr calcId="145621"/>
</workbook>
</file>

<file path=xl/calcChain.xml><?xml version="1.0" encoding="utf-8"?>
<calcChain xmlns="http://schemas.openxmlformats.org/spreadsheetml/2006/main">
  <c r="T12" i="6" l="1"/>
  <c r="S2" i="6"/>
  <c r="S2" i="4"/>
  <c r="O10" i="6"/>
  <c r="P10" i="6"/>
  <c r="Q10" i="6"/>
  <c r="R10" i="6"/>
  <c r="S10" i="6"/>
  <c r="T10" i="6"/>
  <c r="U10" i="6"/>
  <c r="V10" i="6"/>
  <c r="W10" i="6"/>
  <c r="X10" i="6"/>
  <c r="O11" i="6"/>
  <c r="P11" i="6"/>
  <c r="Q11" i="6"/>
  <c r="R11" i="6"/>
  <c r="S11" i="6"/>
  <c r="T11" i="6"/>
  <c r="U11" i="6"/>
  <c r="V11" i="6"/>
  <c r="W11" i="6"/>
  <c r="X11" i="6"/>
  <c r="O12" i="6"/>
  <c r="P12" i="6"/>
  <c r="Q12" i="6"/>
  <c r="R12" i="6"/>
  <c r="S12" i="6"/>
  <c r="U12" i="6"/>
  <c r="V12" i="6"/>
  <c r="W12" i="6"/>
  <c r="X12" i="6"/>
  <c r="O13" i="6"/>
  <c r="P13" i="6"/>
  <c r="Q13" i="6"/>
  <c r="R13" i="6"/>
  <c r="S13" i="6"/>
  <c r="T13" i="6"/>
  <c r="U13" i="6"/>
  <c r="V13" i="6"/>
  <c r="W13" i="6"/>
  <c r="X13" i="6"/>
  <c r="O14" i="6"/>
  <c r="P14" i="6"/>
  <c r="Q14" i="6"/>
  <c r="R14" i="6"/>
  <c r="S14" i="6"/>
  <c r="T14" i="6"/>
  <c r="U14" i="6"/>
  <c r="V14" i="6"/>
  <c r="W14" i="6"/>
  <c r="X14" i="6"/>
  <c r="O15" i="6"/>
  <c r="P15" i="6"/>
  <c r="Q15" i="6"/>
  <c r="R15" i="6"/>
  <c r="S15" i="6"/>
  <c r="T15" i="6"/>
  <c r="U15" i="6"/>
  <c r="V15" i="6"/>
  <c r="W15" i="6"/>
  <c r="X15" i="6"/>
  <c r="O16" i="6"/>
  <c r="P16" i="6"/>
  <c r="Q16" i="6"/>
  <c r="R16" i="6"/>
  <c r="S16" i="6"/>
  <c r="T16" i="6"/>
  <c r="U16" i="6"/>
  <c r="V16" i="6"/>
  <c r="W16" i="6"/>
  <c r="X16" i="6"/>
  <c r="O17" i="6"/>
  <c r="P17" i="6"/>
  <c r="Q17" i="6"/>
  <c r="R17" i="6"/>
  <c r="S17" i="6"/>
  <c r="T17" i="6"/>
  <c r="U17" i="6"/>
  <c r="V17" i="6"/>
  <c r="W17" i="6"/>
  <c r="X17" i="6"/>
  <c r="O18" i="6"/>
  <c r="P18" i="6"/>
  <c r="Q18" i="6"/>
  <c r="R18" i="6"/>
  <c r="S18" i="6"/>
  <c r="T18" i="6"/>
  <c r="U18" i="6"/>
  <c r="V18" i="6"/>
  <c r="W18" i="6"/>
  <c r="X18" i="6"/>
  <c r="P9" i="6"/>
  <c r="Q9" i="6"/>
  <c r="R9" i="6"/>
  <c r="S9" i="6"/>
  <c r="T9" i="6"/>
  <c r="U9" i="6"/>
  <c r="V9" i="6"/>
  <c r="W9" i="6"/>
  <c r="X9" i="6"/>
  <c r="O9" i="6"/>
  <c r="O9" i="4"/>
  <c r="O10" i="4"/>
  <c r="P10" i="4"/>
  <c r="Q10" i="4"/>
  <c r="R10" i="4"/>
  <c r="S10" i="4"/>
  <c r="T10" i="4"/>
  <c r="U10" i="4"/>
  <c r="V10" i="4"/>
  <c r="W10" i="4"/>
  <c r="X10" i="4"/>
  <c r="O11" i="4"/>
  <c r="P11" i="4"/>
  <c r="Q11" i="4"/>
  <c r="R11" i="4"/>
  <c r="S11" i="4"/>
  <c r="T11" i="4"/>
  <c r="U11" i="4"/>
  <c r="V11" i="4"/>
  <c r="W11" i="4"/>
  <c r="X11" i="4"/>
  <c r="O12" i="4"/>
  <c r="P12" i="4"/>
  <c r="Q12" i="4"/>
  <c r="R12" i="4"/>
  <c r="S12" i="4"/>
  <c r="T12" i="4"/>
  <c r="U12" i="4"/>
  <c r="V12" i="4"/>
  <c r="W12" i="4"/>
  <c r="X12" i="4"/>
  <c r="O13" i="4"/>
  <c r="P13" i="4"/>
  <c r="Q13" i="4"/>
  <c r="R13" i="4"/>
  <c r="S13" i="4"/>
  <c r="T13" i="4"/>
  <c r="U13" i="4"/>
  <c r="V13" i="4"/>
  <c r="W13" i="4"/>
  <c r="X13" i="4"/>
  <c r="O14" i="4"/>
  <c r="P14" i="4"/>
  <c r="Q14" i="4"/>
  <c r="R14" i="4"/>
  <c r="S14" i="4"/>
  <c r="T14" i="4"/>
  <c r="U14" i="4"/>
  <c r="V14" i="4"/>
  <c r="W14" i="4"/>
  <c r="X14" i="4"/>
  <c r="O15" i="4"/>
  <c r="P15" i="4"/>
  <c r="Q15" i="4"/>
  <c r="R15" i="4"/>
  <c r="S15" i="4"/>
  <c r="T15" i="4"/>
  <c r="U15" i="4"/>
  <c r="V15" i="4"/>
  <c r="W15" i="4"/>
  <c r="X15" i="4"/>
  <c r="O16" i="4"/>
  <c r="P16" i="4"/>
  <c r="Q16" i="4"/>
  <c r="R16" i="4"/>
  <c r="S16" i="4"/>
  <c r="T16" i="4"/>
  <c r="U16" i="4"/>
  <c r="V16" i="4"/>
  <c r="W16" i="4"/>
  <c r="X16" i="4"/>
  <c r="O17" i="4"/>
  <c r="P17" i="4"/>
  <c r="Q17" i="4"/>
  <c r="R17" i="4"/>
  <c r="S17" i="4"/>
  <c r="T17" i="4"/>
  <c r="U17" i="4"/>
  <c r="V17" i="4"/>
  <c r="W17" i="4"/>
  <c r="X17" i="4"/>
  <c r="O18" i="4"/>
  <c r="P18" i="4"/>
  <c r="Q18" i="4"/>
  <c r="R18" i="4"/>
  <c r="S18" i="4"/>
  <c r="T18" i="4"/>
  <c r="U18" i="4"/>
  <c r="V18" i="4"/>
  <c r="W18" i="4"/>
  <c r="X18" i="4"/>
  <c r="P9" i="4"/>
  <c r="Q9" i="4"/>
  <c r="R9" i="4"/>
  <c r="S9" i="4"/>
  <c r="T9" i="4"/>
  <c r="U9" i="4"/>
  <c r="V9" i="4"/>
  <c r="W9" i="4"/>
  <c r="X9" i="4"/>
  <c r="S5" i="6" l="1"/>
  <c r="S5" i="4"/>
  <c r="B20" i="4"/>
  <c r="S4" i="4"/>
  <c r="S4" i="6"/>
  <c r="C3" i="6"/>
  <c r="C3" i="4"/>
  <c r="V2" i="4" l="1"/>
  <c r="M3" i="6"/>
  <c r="V2" i="6"/>
  <c r="M3" i="4"/>
  <c r="R12" i="5"/>
  <c r="R11" i="5"/>
  <c r="R10" i="5"/>
  <c r="R9" i="5"/>
  <c r="R8" i="5"/>
  <c r="R9" i="3"/>
  <c r="S9" i="3" s="1"/>
  <c r="R10" i="3"/>
  <c r="S10" i="3" s="1"/>
  <c r="R11" i="3"/>
  <c r="S11" i="3" s="1"/>
  <c r="R12" i="3"/>
  <c r="S12" i="3" s="1"/>
  <c r="R8" i="3"/>
  <c r="E3" i="5"/>
  <c r="E3" i="3"/>
  <c r="O17" i="3" l="1"/>
  <c r="S8" i="3"/>
  <c r="S9" i="5"/>
  <c r="T9" i="5"/>
  <c r="S10" i="5"/>
  <c r="T10" i="5"/>
  <c r="S11" i="5"/>
  <c r="T11" i="5"/>
  <c r="S8" i="5"/>
  <c r="O17" i="5"/>
  <c r="T8" i="5"/>
  <c r="S12" i="5"/>
  <c r="T12" i="5"/>
  <c r="T8" i="3"/>
  <c r="T10" i="3"/>
  <c r="T9" i="3"/>
  <c r="T11" i="3"/>
  <c r="T12" i="3"/>
</calcChain>
</file>

<file path=xl/sharedStrings.xml><?xml version="1.0" encoding="utf-8"?>
<sst xmlns="http://schemas.openxmlformats.org/spreadsheetml/2006/main" count="59" uniqueCount="34">
  <si>
    <t>Spielanleitung :</t>
  </si>
  <si>
    <t xml:space="preserve">Schiffe setzen </t>
  </si>
  <si>
    <t>A</t>
  </si>
  <si>
    <t>D</t>
  </si>
  <si>
    <t>F</t>
  </si>
  <si>
    <t>M</t>
  </si>
  <si>
    <t>soll</t>
  </si>
  <si>
    <t>ist</t>
  </si>
  <si>
    <t>Anzahl Schiffe</t>
  </si>
  <si>
    <t>Air</t>
  </si>
  <si>
    <t>Destroyer</t>
  </si>
  <si>
    <t>Master</t>
  </si>
  <si>
    <t>Flying Lamb</t>
  </si>
  <si>
    <t>S</t>
  </si>
  <si>
    <t>Sunny</t>
  </si>
  <si>
    <t>Lageplan Spieler 2:</t>
  </si>
  <si>
    <t>Lageplan Spieler 1:</t>
  </si>
  <si>
    <t>Fehleranzeigen</t>
  </si>
  <si>
    <t>Hilfsanzeige</t>
  </si>
  <si>
    <t>Spieler 1 Bitte Name eingeben:</t>
  </si>
  <si>
    <t>Spieler 2 Bitte Name eingeben:</t>
  </si>
  <si>
    <t>Spielstand</t>
  </si>
  <si>
    <t>hat grade seinen Zug</t>
  </si>
  <si>
    <t>Schüsse</t>
  </si>
  <si>
    <t>Treffer bisher</t>
  </si>
  <si>
    <t xml:space="preserve">hat </t>
  </si>
  <si>
    <t>treffer</t>
  </si>
  <si>
    <t xml:space="preserve"> - beide Spieler setzten ihre Schiffe und drücken dann auf zurück 
 - Spiel Starten
 - in der ersten Matrix "schießt" man auf die Schiffe mit einem "x" 
 - wenn man trifft wird es auf der Matrix daneben mit einem "✓" angezeigt und wenn nicht erscheint ein "x"</t>
  </si>
  <si>
    <t>Die Treffer werden hier mir einem "" angezeigt</t>
  </si>
  <si>
    <t>und die insgesamten Schüsse mit einem "x".</t>
  </si>
  <si>
    <t>In dieser Matrix kannst du auf die Schiffe mit einem "x" schießen.</t>
  </si>
  <si>
    <t>Passwort:123</t>
  </si>
  <si>
    <t>Player 1</t>
  </si>
  <si>
    <t>Player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</si>
</sst>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color theme="9" tint="-0.249977111117893"/>
      <name val="Calibri"/>
      <family val="2"/>
      <scheme val="minor"/>
    </font>
    <font>
      <b/>
      <u/>
      <sz val="16"/>
      <color theme="6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Fill="1"/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4" borderId="0" xfId="0" applyFill="1"/>
    <xf numFmtId="0" fontId="2" fillId="4" borderId="0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0" fontId="0" fillId="4" borderId="0" xfId="0" applyFill="1" applyBorder="1" applyAlignment="1"/>
    <xf numFmtId="0" fontId="0" fillId="4" borderId="11" xfId="0" applyFill="1" applyBorder="1"/>
    <xf numFmtId="0" fontId="0" fillId="4" borderId="3" xfId="0" applyFill="1" applyBorder="1"/>
    <xf numFmtId="0" fontId="7" fillId="3" borderId="8" xfId="0" applyFont="1" applyFill="1" applyBorder="1" applyAlignment="1" applyProtection="1">
      <alignment horizontal="center" vertical="center"/>
      <protection locked="0"/>
    </xf>
    <xf numFmtId="0" fontId="7" fillId="2" borderId="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4" borderId="0" xfId="0" applyFont="1" applyFill="1" applyBorder="1" applyAlignment="1"/>
    <xf numFmtId="0" fontId="6" fillId="4" borderId="12" xfId="0" applyFont="1" applyFill="1" applyBorder="1" applyAlignment="1"/>
    <xf numFmtId="0" fontId="6" fillId="4" borderId="0" xfId="0" applyFont="1" applyFill="1" applyBorder="1" applyAlignment="1">
      <alignment vertical="center"/>
    </xf>
    <xf numFmtId="0" fontId="6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vertical="top" wrapText="1"/>
    </xf>
    <xf numFmtId="0" fontId="9" fillId="3" borderId="8" xfId="0" applyFont="1" applyFill="1" applyBorder="1" applyAlignment="1" applyProtection="1">
      <alignment horizontal="center" vertical="center"/>
      <protection locked="0"/>
    </xf>
    <xf numFmtId="0" fontId="9" fillId="2" borderId="8" xfId="0" applyFont="1" applyFill="1" applyBorder="1" applyAlignment="1" applyProtection="1">
      <alignment horizontal="center" vertical="center"/>
      <protection locked="0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12" fillId="2" borderId="8" xfId="0" applyFont="1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5" fillId="9" borderId="1" xfId="0" applyFont="1" applyFill="1" applyBorder="1" applyAlignment="1" applyProtection="1">
      <alignment horizontal="center"/>
      <protection locked="0"/>
    </xf>
    <xf numFmtId="0" fontId="5" fillId="9" borderId="2" xfId="0" applyFont="1" applyFill="1" applyBorder="1" applyAlignment="1" applyProtection="1">
      <alignment horizontal="center"/>
      <protection locked="0"/>
    </xf>
    <xf numFmtId="0" fontId="5" fillId="9" borderId="3" xfId="0" applyFont="1" applyFill="1" applyBorder="1" applyAlignment="1" applyProtection="1">
      <alignment horizontal="center"/>
      <protection locked="0"/>
    </xf>
    <xf numFmtId="0" fontId="5" fillId="9" borderId="4" xfId="0" applyFont="1" applyFill="1" applyBorder="1" applyAlignment="1" applyProtection="1">
      <alignment horizontal="center"/>
      <protection locked="0"/>
    </xf>
    <xf numFmtId="0" fontId="4" fillId="10" borderId="5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10" borderId="7" xfId="0" applyFont="1" applyFill="1" applyBorder="1" applyAlignment="1">
      <alignment horizontal="center"/>
    </xf>
    <xf numFmtId="0" fontId="4" fillId="9" borderId="5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5" fillId="10" borderId="1" xfId="0" applyFont="1" applyFill="1" applyBorder="1" applyAlignment="1" applyProtection="1">
      <alignment horizontal="center"/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  <protection locked="0"/>
    </xf>
    <xf numFmtId="0" fontId="0" fillId="10" borderId="4" xfId="0" applyFill="1" applyBorder="1" applyAlignment="1" applyProtection="1">
      <alignment horizontal="center"/>
      <protection locked="0"/>
    </xf>
    <xf numFmtId="0" fontId="1" fillId="8" borderId="1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1" fillId="10" borderId="0" xfId="0" applyFont="1" applyFill="1" applyAlignment="1">
      <alignment horizontal="left"/>
    </xf>
    <xf numFmtId="0" fontId="10" fillId="4" borderId="0" xfId="0" applyFont="1" applyFill="1" applyAlignment="1">
      <alignment horizontal="center"/>
    </xf>
    <xf numFmtId="0" fontId="3" fillId="10" borderId="5" xfId="0" applyFont="1" applyFill="1" applyBorder="1" applyAlignment="1">
      <alignment horizontal="center" vertical="center"/>
    </xf>
    <xf numFmtId="0" fontId="3" fillId="10" borderId="6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1" fillId="9" borderId="0" xfId="0" applyFont="1" applyFill="1" applyAlignment="1">
      <alignment horizontal="left"/>
    </xf>
    <xf numFmtId="0" fontId="3" fillId="9" borderId="5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12" fillId="10" borderId="1" xfId="0" applyFont="1" applyFill="1" applyBorder="1" applyAlignment="1">
      <alignment horizontal="right"/>
    </xf>
    <xf numFmtId="0" fontId="12" fillId="10" borderId="10" xfId="0" applyFont="1" applyFill="1" applyBorder="1" applyAlignment="1">
      <alignment horizontal="right"/>
    </xf>
    <xf numFmtId="0" fontId="12" fillId="10" borderId="3" xfId="0" applyFont="1" applyFill="1" applyBorder="1" applyAlignment="1">
      <alignment horizontal="right"/>
    </xf>
    <xf numFmtId="0" fontId="12" fillId="10" borderId="13" xfId="0" applyFont="1" applyFill="1" applyBorder="1" applyAlignment="1">
      <alignment horizontal="right"/>
    </xf>
    <xf numFmtId="0" fontId="13" fillId="10" borderId="10" xfId="0" applyFont="1" applyFill="1" applyBorder="1" applyAlignment="1">
      <alignment horizontal="left"/>
    </xf>
    <xf numFmtId="0" fontId="14" fillId="10" borderId="10" xfId="0" applyFont="1" applyFill="1" applyBorder="1" applyAlignment="1">
      <alignment horizontal="left"/>
    </xf>
    <xf numFmtId="0" fontId="14" fillId="10" borderId="2" xfId="0" applyFont="1" applyFill="1" applyBorder="1" applyAlignment="1">
      <alignment horizontal="left"/>
    </xf>
    <xf numFmtId="0" fontId="14" fillId="10" borderId="13" xfId="0" applyFont="1" applyFill="1" applyBorder="1" applyAlignment="1">
      <alignment horizontal="left"/>
    </xf>
    <xf numFmtId="0" fontId="14" fillId="10" borderId="4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6" fillId="4" borderId="12" xfId="0" applyFont="1" applyFill="1" applyBorder="1" applyAlignment="1">
      <alignment horizontal="left"/>
    </xf>
    <xf numFmtId="0" fontId="0" fillId="4" borderId="0" xfId="0" applyFill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6" fillId="4" borderId="13" xfId="0" applyFont="1" applyFill="1" applyBorder="1" applyAlignment="1">
      <alignment horizontal="left"/>
    </xf>
    <xf numFmtId="0" fontId="6" fillId="4" borderId="4" xfId="0" applyFont="1" applyFill="1" applyBorder="1" applyAlignment="1">
      <alignment horizontal="left"/>
    </xf>
    <xf numFmtId="0" fontId="6" fillId="4" borderId="11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center"/>
    </xf>
    <xf numFmtId="0" fontId="16" fillId="4" borderId="0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right"/>
    </xf>
    <xf numFmtId="0" fontId="12" fillId="9" borderId="10" xfId="0" applyFont="1" applyFill="1" applyBorder="1" applyAlignment="1">
      <alignment horizontal="right"/>
    </xf>
    <xf numFmtId="0" fontId="12" fillId="9" borderId="3" xfId="0" applyFont="1" applyFill="1" applyBorder="1" applyAlignment="1">
      <alignment horizontal="right"/>
    </xf>
    <xf numFmtId="0" fontId="12" fillId="9" borderId="13" xfId="0" applyFont="1" applyFill="1" applyBorder="1" applyAlignment="1">
      <alignment horizontal="right"/>
    </xf>
    <xf numFmtId="0" fontId="13" fillId="9" borderId="10" xfId="0" applyFont="1" applyFill="1" applyBorder="1" applyAlignment="1">
      <alignment horizontal="left"/>
    </xf>
    <xf numFmtId="0" fontId="14" fillId="9" borderId="10" xfId="0" applyFont="1" applyFill="1" applyBorder="1" applyAlignment="1">
      <alignment horizontal="left"/>
    </xf>
    <xf numFmtId="0" fontId="14" fillId="9" borderId="2" xfId="0" applyFont="1" applyFill="1" applyBorder="1" applyAlignment="1">
      <alignment horizontal="left"/>
    </xf>
    <xf numFmtId="0" fontId="14" fillId="9" borderId="13" xfId="0" applyFont="1" applyFill="1" applyBorder="1" applyAlignment="1">
      <alignment horizontal="left"/>
    </xf>
    <xf numFmtId="0" fontId="14" fillId="9" borderId="4" xfId="0" applyFont="1" applyFill="1" applyBorder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3300"/>
      <color rgb="FFFFFF99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206375</xdr:colOff>
      <xdr:row>1</xdr:row>
      <xdr:rowOff>50800</xdr:rowOff>
    </xdr:from>
    <xdr:to>
      <xdr:col>11</xdr:col>
      <xdr:colOff>74083</xdr:colOff>
      <xdr:row>15</xdr:row>
      <xdr:rowOff>162691</xdr:rowOff>
    </xdr:to>
    <xdr:pic>
      <xdr:nvPicPr>
        <xdr:cNvPr id="2" name="Grafik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0375" y="241300"/>
          <a:ext cx="2915708" cy="2916474"/>
        </a:xfrm>
        <a:prstGeom prst="rect">
          <a:avLst/>
        </a:prstGeom>
      </xdr:spPr>
    </xdr:pic>
    <xdr:clientData/>
  </xdr:twoCellAnchor>
  <xdr:twoCellAnchor>
    <xdr:from>
      <xdr:col>5</xdr:col>
      <xdr:colOff>595313</xdr:colOff>
      <xdr:row>16</xdr:row>
      <xdr:rowOff>190500</xdr:rowOff>
    </xdr:from>
    <xdr:to>
      <xdr:col>11</xdr:col>
      <xdr:colOff>250031</xdr:colOff>
      <xdr:row>19</xdr:row>
      <xdr:rowOff>11906</xdr:rowOff>
    </xdr:to>
    <xdr:sp macro="[0]!SpielStarten" textlink="">
      <xdr:nvSpPr>
        <xdr:cNvPr id="3" name="Pfeil: nach rechts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4405313" y="3405188"/>
          <a:ext cx="4226718" cy="184546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/>
            <a:t>Spiel Starten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4</xdr:row>
          <xdr:rowOff>0</xdr:rowOff>
        </xdr:from>
        <xdr:to>
          <xdr:col>5</xdr:col>
          <xdr:colOff>590550</xdr:colOff>
          <xdr:row>7</xdr:row>
          <xdr:rowOff>180975</xdr:rowOff>
        </xdr:to>
        <xdr:sp macro="" textlink="">
          <xdr:nvSpPr>
            <xdr:cNvPr id="1025" name="Schaltfläche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Spieler 1 =&gt;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Schiffe setzten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11</xdr:row>
          <xdr:rowOff>38100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26" name="Schaltfläche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Spieler 2 =&gt;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Schiffe setzten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742950</xdr:colOff>
          <xdr:row>15</xdr:row>
          <xdr:rowOff>152400</xdr:rowOff>
        </xdr:from>
        <xdr:to>
          <xdr:col>20</xdr:col>
          <xdr:colOff>28575</xdr:colOff>
          <xdr:row>17</xdr:row>
          <xdr:rowOff>47625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104775</xdr:rowOff>
        </xdr:from>
        <xdr:to>
          <xdr:col>20</xdr:col>
          <xdr:colOff>9525</xdr:colOff>
          <xdr:row>13</xdr:row>
          <xdr:rowOff>47625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Schiffe zurücksetzten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771525</xdr:colOff>
          <xdr:row>15</xdr:row>
          <xdr:rowOff>152400</xdr:rowOff>
        </xdr:from>
        <xdr:to>
          <xdr:col>20</xdr:col>
          <xdr:colOff>47625</xdr:colOff>
          <xdr:row>17</xdr:row>
          <xdr:rowOff>47625</xdr:rowOff>
        </xdr:to>
        <xdr:sp macro="" textlink="">
          <xdr:nvSpPr>
            <xdr:cNvPr id="4097" name="Schaltfläche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1104900</xdr:colOff>
          <xdr:row>12</xdr:row>
          <xdr:rowOff>95250</xdr:rowOff>
        </xdr:from>
        <xdr:to>
          <xdr:col>19</xdr:col>
          <xdr:colOff>2038350</xdr:colOff>
          <xdr:row>13</xdr:row>
          <xdr:rowOff>28575</xdr:rowOff>
        </xdr:to>
        <xdr:sp macro="" textlink="">
          <xdr:nvSpPr>
            <xdr:cNvPr id="4098" name="Schaltfläche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Schiffe zurücksetzten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18</xdr:row>
          <xdr:rowOff>180975</xdr:rowOff>
        </xdr:from>
        <xdr:to>
          <xdr:col>14</xdr:col>
          <xdr:colOff>190500</xdr:colOff>
          <xdr:row>21</xdr:row>
          <xdr:rowOff>9525</xdr:rowOff>
        </xdr:to>
        <xdr:sp macro="" textlink="">
          <xdr:nvSpPr>
            <xdr:cNvPr id="3074" name="Schaltfläche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Fertig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733425</xdr:colOff>
          <xdr:row>1</xdr:row>
          <xdr:rowOff>57150</xdr:rowOff>
        </xdr:from>
        <xdr:to>
          <xdr:col>27</xdr:col>
          <xdr:colOff>19050</xdr:colOff>
          <xdr:row>3</xdr:row>
          <xdr:rowOff>104775</xdr:rowOff>
        </xdr:to>
        <xdr:sp macro="" textlink="">
          <xdr:nvSpPr>
            <xdr:cNvPr id="3075" name="Schaltfläche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 zum Hauptmenü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752475</xdr:colOff>
          <xdr:row>4</xdr:row>
          <xdr:rowOff>123825</xdr:rowOff>
        </xdr:from>
        <xdr:to>
          <xdr:col>26</xdr:col>
          <xdr:colOff>752475</xdr:colOff>
          <xdr:row>6</xdr:row>
          <xdr:rowOff>171450</xdr:rowOff>
        </xdr:to>
        <xdr:sp macro="" textlink="">
          <xdr:nvSpPr>
            <xdr:cNvPr id="3076" name="Schaltfläche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 Spiel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19</xdr:row>
          <xdr:rowOff>9525</xdr:rowOff>
        </xdr:from>
        <xdr:to>
          <xdr:col>14</xdr:col>
          <xdr:colOff>152400</xdr:colOff>
          <xdr:row>21</xdr:row>
          <xdr:rowOff>28575</xdr:rowOff>
        </xdr:to>
        <xdr:sp macro="" textlink="">
          <xdr:nvSpPr>
            <xdr:cNvPr id="5121" name="Schaltfläche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Fertig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676275</xdr:colOff>
          <xdr:row>1</xdr:row>
          <xdr:rowOff>123825</xdr:rowOff>
        </xdr:from>
        <xdr:to>
          <xdr:col>26</xdr:col>
          <xdr:colOff>723900</xdr:colOff>
          <xdr:row>3</xdr:row>
          <xdr:rowOff>161925</xdr:rowOff>
        </xdr:to>
        <xdr:sp macro="" textlink="">
          <xdr:nvSpPr>
            <xdr:cNvPr id="5122" name="Schaltfläche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 zum Hauptmenü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723900</xdr:colOff>
          <xdr:row>5</xdr:row>
          <xdr:rowOff>28575</xdr:rowOff>
        </xdr:from>
        <xdr:to>
          <xdr:col>26</xdr:col>
          <xdr:colOff>723900</xdr:colOff>
          <xdr:row>7</xdr:row>
          <xdr:rowOff>95250</xdr:rowOff>
        </xdr:to>
        <xdr:sp macro="" textlink="">
          <xdr:nvSpPr>
            <xdr:cNvPr id="5123" name="Schaltfläche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 Spiel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Y47"/>
  <sheetViews>
    <sheetView showGridLines="0" zoomScale="140" zoomScaleNormal="140" workbookViewId="0">
      <selection activeCell="M15" sqref="M15"/>
    </sheetView>
  </sheetViews>
  <sheetFormatPr baseColWidth="10" defaultRowHeight="15" x14ac:dyDescent="0.25"/>
  <sheetData>
    <row r="1" spans="1:25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 t="s">
        <v>31</v>
      </c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spans="1:25" ht="27" thickBot="1" x14ac:dyDescent="0.45">
      <c r="A3" s="11"/>
      <c r="B3" s="42" t="s">
        <v>19</v>
      </c>
      <c r="C3" s="43"/>
      <c r="D3" s="43"/>
      <c r="E3" s="43"/>
      <c r="F3" s="44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</row>
    <row r="4" spans="1:25" ht="15.75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x14ac:dyDescent="0.25">
      <c r="A5" s="11"/>
      <c r="B5" s="11"/>
      <c r="C5" s="48" t="s">
        <v>32</v>
      </c>
      <c r="D5" s="49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 ht="7.5" customHeight="1" thickBot="1" x14ac:dyDescent="0.3">
      <c r="A6" s="11"/>
      <c r="B6" s="11"/>
      <c r="C6" s="50"/>
      <c r="D6" s="5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 x14ac:dyDescent="0.25">
      <c r="A8" s="11"/>
      <c r="B8" s="17"/>
      <c r="C8" s="17"/>
      <c r="D8" s="17"/>
      <c r="E8" s="17"/>
      <c r="F8" s="17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 ht="15.75" thickBot="1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</row>
    <row r="10" spans="1:25" ht="27" thickBot="1" x14ac:dyDescent="0.45">
      <c r="A10" s="11"/>
      <c r="B10" s="45" t="s">
        <v>20</v>
      </c>
      <c r="C10" s="46"/>
      <c r="D10" s="46"/>
      <c r="E10" s="46"/>
      <c r="F10" s="47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</row>
    <row r="11" spans="1:25" ht="12.75" customHeight="1" thickBot="1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</row>
    <row r="12" spans="1:25" ht="9" customHeight="1" x14ac:dyDescent="0.25">
      <c r="A12" s="11"/>
      <c r="B12" s="11"/>
      <c r="C12" s="38" t="s">
        <v>33</v>
      </c>
      <c r="D12" s="39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</row>
    <row r="13" spans="1:25" ht="15.75" thickBot="1" x14ac:dyDescent="0.3">
      <c r="A13" s="11"/>
      <c r="B13" s="11"/>
      <c r="C13" s="40"/>
      <c r="D13" s="4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</row>
    <row r="14" spans="1:2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</row>
    <row r="15" spans="1:25" x14ac:dyDescent="0.25">
      <c r="A15" s="11"/>
      <c r="B15" s="17"/>
      <c r="C15" s="17"/>
      <c r="D15" s="17"/>
      <c r="E15" s="17"/>
      <c r="F15" s="17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</row>
    <row r="16" spans="1:25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</row>
    <row r="17" spans="1:25" ht="15.75" thickBo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</row>
    <row r="18" spans="1:25" ht="15.75" thickBot="1" x14ac:dyDescent="0.3">
      <c r="A18" s="11"/>
      <c r="B18" s="52" t="s">
        <v>0</v>
      </c>
      <c r="C18" s="53"/>
      <c r="D18" s="53"/>
      <c r="E18" s="54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</row>
    <row r="19" spans="1:25" ht="127.5" customHeight="1" thickBot="1" x14ac:dyDescent="0.3">
      <c r="A19" s="11"/>
      <c r="B19" s="35" t="s">
        <v>27</v>
      </c>
      <c r="C19" s="36"/>
      <c r="D19" s="36"/>
      <c r="E19" s="37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</row>
    <row r="20" spans="1:25" x14ac:dyDescent="0.25">
      <c r="A20" s="11"/>
      <c r="B20" s="30"/>
      <c r="C20" s="30"/>
      <c r="D20" s="30"/>
      <c r="E20" s="3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</row>
    <row r="21" spans="1:25" x14ac:dyDescent="0.25">
      <c r="A21" s="11"/>
      <c r="B21" s="30"/>
      <c r="C21" s="30"/>
      <c r="D21" s="30"/>
      <c r="E21" s="3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</row>
    <row r="22" spans="1:25" x14ac:dyDescent="0.25">
      <c r="A22" s="11"/>
      <c r="B22" s="30"/>
      <c r="C22" s="30"/>
      <c r="D22" s="30"/>
      <c r="E22" s="3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</row>
    <row r="23" spans="1:25" ht="15" customHeight="1" x14ac:dyDescent="0.25">
      <c r="A23" s="11"/>
      <c r="B23" s="30"/>
      <c r="C23" s="30"/>
      <c r="D23" s="30"/>
      <c r="E23" s="3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</row>
    <row r="24" spans="1:25" x14ac:dyDescent="0.25">
      <c r="A24" s="11"/>
      <c r="B24" s="30"/>
      <c r="C24" s="30"/>
      <c r="D24" s="30"/>
      <c r="E24" s="3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</row>
    <row r="25" spans="1:25" x14ac:dyDescent="0.25">
      <c r="A25" s="11"/>
      <c r="B25" s="30"/>
      <c r="C25" s="30"/>
      <c r="D25" s="30"/>
      <c r="E25" s="3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</row>
    <row r="26" spans="1:25" x14ac:dyDescent="0.25">
      <c r="A26" s="11"/>
      <c r="B26" s="30"/>
      <c r="C26" s="30"/>
      <c r="D26" s="30"/>
      <c r="E26" s="3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</row>
    <row r="27" spans="1:25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</row>
    <row r="28" spans="1:25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</row>
    <row r="29" spans="1:2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</row>
    <row r="30" spans="1:2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</row>
    <row r="31" spans="1:25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</row>
    <row r="32" spans="1:25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25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1:2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</row>
    <row r="35" spans="1:2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</row>
    <row r="36" spans="1:2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</row>
    <row r="37" spans="1:25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</row>
    <row r="38" spans="1:25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</row>
    <row r="39" spans="1:25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</row>
    <row r="40" spans="1:2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</row>
    <row r="41" spans="1:2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</row>
    <row r="42" spans="1:25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</row>
    <row r="43" spans="1:2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</row>
    <row r="44" spans="1:2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</row>
    <row r="45" spans="1:25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</row>
    <row r="46" spans="1:25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</row>
    <row r="47" spans="1:25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</row>
  </sheetData>
  <sheetProtection password="CF7A" sheet="1" objects="1" scenarios="1"/>
  <mergeCells count="6">
    <mergeCell ref="B19:E19"/>
    <mergeCell ref="C12:D13"/>
    <mergeCell ref="B3:F3"/>
    <mergeCell ref="B10:F10"/>
    <mergeCell ref="C5:D6"/>
    <mergeCell ref="B18:E1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haltfläche 1">
              <controlPr locked="0" defaultSize="0" print="0" autoFill="0" autoPict="0" macro="[0]!Spieler1SchiffeSetzten">
                <anchor moveWithCells="1" sizeWithCells="1">
                  <from>
                    <xdr:col>4</xdr:col>
                    <xdr:colOff>200025</xdr:colOff>
                    <xdr:row>4</xdr:row>
                    <xdr:rowOff>0</xdr:rowOff>
                  </from>
                  <to>
                    <xdr:col>5</xdr:col>
                    <xdr:colOff>590550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haltfläche 2">
              <controlPr locked="0" defaultSize="0" print="0" autoFill="0" autoPict="0" macro="[0]!Spieler2SchiffeSetzten">
                <anchor moveWithCells="1" sizeWithCells="1">
                  <from>
                    <xdr:col>4</xdr:col>
                    <xdr:colOff>228600</xdr:colOff>
                    <xdr:row>11</xdr:row>
                    <xdr:rowOff>38100</xdr:rowOff>
                  </from>
                  <to>
                    <xdr:col>5</xdr:col>
                    <xdr:colOff>619125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Z29"/>
  <sheetViews>
    <sheetView showGridLines="0" showRowColHeaders="0" zoomScale="130" zoomScaleNormal="130" workbookViewId="0">
      <selection activeCell="L7" sqref="L7"/>
    </sheetView>
  </sheetViews>
  <sheetFormatPr baseColWidth="10" defaultRowHeight="15" x14ac:dyDescent="0.25"/>
  <cols>
    <col min="3" max="12" width="5.7109375" customWidth="1"/>
    <col min="13" max="13" width="5.5703125" customWidth="1"/>
    <col min="14" max="14" width="4.140625" customWidth="1"/>
    <col min="15" max="15" width="5.7109375" customWidth="1"/>
    <col min="16" max="16" width="14.7109375" customWidth="1"/>
    <col min="17" max="18" width="5.7109375" customWidth="1"/>
    <col min="19" max="19" width="16.7109375" customWidth="1"/>
    <col min="20" max="20" width="30.7109375" customWidth="1"/>
  </cols>
  <sheetData>
    <row r="1" spans="1:26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ht="27" thickBot="1" x14ac:dyDescent="0.45">
      <c r="A3" s="55" t="s">
        <v>16</v>
      </c>
      <c r="B3" s="55"/>
      <c r="C3" s="55"/>
      <c r="D3" s="55"/>
      <c r="E3" s="57" t="str">
        <f>Einstellungen!C5</f>
        <v>Player 1</v>
      </c>
      <c r="F3" s="58"/>
      <c r="G3" s="59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8.75" x14ac:dyDescent="0.3">
      <c r="A5" s="56" t="s">
        <v>1</v>
      </c>
      <c r="B5" s="56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63" t="s">
        <v>18</v>
      </c>
      <c r="P5" s="63"/>
      <c r="Q5" s="63"/>
      <c r="R5" s="63"/>
      <c r="S5" s="63"/>
      <c r="T5" s="11"/>
      <c r="U5" s="11"/>
      <c r="V5" s="11"/>
      <c r="W5" s="11"/>
      <c r="X5" s="11"/>
      <c r="Y5" s="11"/>
      <c r="Z5" s="11"/>
    </row>
    <row r="6" spans="1:26" ht="15.75" thickBot="1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t="19.5" thickBot="1" x14ac:dyDescent="0.3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3"/>
      <c r="P7" s="4"/>
      <c r="Q7" s="4" t="s">
        <v>6</v>
      </c>
      <c r="R7" s="4" t="s">
        <v>7</v>
      </c>
      <c r="S7" s="5" t="s">
        <v>8</v>
      </c>
      <c r="T7" s="16" t="s">
        <v>17</v>
      </c>
      <c r="U7" s="11"/>
      <c r="V7" s="11"/>
      <c r="W7" s="11"/>
      <c r="X7" s="11"/>
      <c r="Y7" s="11"/>
      <c r="Z7" s="11"/>
    </row>
    <row r="8" spans="1:26" ht="24.95" customHeight="1" x14ac:dyDescent="0.3">
      <c r="A8" s="11"/>
      <c r="B8" s="11"/>
      <c r="C8" s="20"/>
      <c r="D8" s="21"/>
      <c r="E8" s="20"/>
      <c r="F8" s="21"/>
      <c r="G8" s="20"/>
      <c r="H8" s="21"/>
      <c r="I8" s="20"/>
      <c r="J8" s="21"/>
      <c r="K8" s="20"/>
      <c r="L8" s="21"/>
      <c r="M8" s="11"/>
      <c r="N8" s="13"/>
      <c r="O8" s="6" t="s">
        <v>2</v>
      </c>
      <c r="P8" s="2" t="s">
        <v>9</v>
      </c>
      <c r="Q8" s="2">
        <v>5</v>
      </c>
      <c r="R8" s="2">
        <f>COUNTIF($C$8:$L$17,O8)</f>
        <v>0</v>
      </c>
      <c r="S8" s="7">
        <f>IF(R8=Q8,1,0)</f>
        <v>0</v>
      </c>
      <c r="T8" s="14" t="str">
        <f>IF(R8=Q8,"",IF(R8&gt;Q8,"zu viele Air-Schiffe","zu wenig Air-Schiffe"))</f>
        <v>zu wenig Air-Schiffe</v>
      </c>
      <c r="U8" s="11"/>
      <c r="V8" s="11"/>
      <c r="W8" s="11"/>
      <c r="X8" s="11"/>
      <c r="Y8" s="11"/>
      <c r="Z8" s="11"/>
    </row>
    <row r="9" spans="1:26" ht="24.95" customHeight="1" x14ac:dyDescent="0.3">
      <c r="A9" s="11"/>
      <c r="B9" s="11"/>
      <c r="C9" s="21"/>
      <c r="D9" s="20"/>
      <c r="E9" s="21"/>
      <c r="F9" s="20"/>
      <c r="G9" s="21"/>
      <c r="H9" s="20"/>
      <c r="I9" s="21"/>
      <c r="J9" s="20"/>
      <c r="K9" s="21"/>
      <c r="L9" s="20"/>
      <c r="M9" s="11"/>
      <c r="N9" s="11"/>
      <c r="O9" s="6" t="s">
        <v>13</v>
      </c>
      <c r="P9" s="2" t="s">
        <v>14</v>
      </c>
      <c r="Q9" s="2">
        <v>4</v>
      </c>
      <c r="R9" s="2">
        <f t="shared" ref="R9:R12" si="0">COUNTIF($C$8:$L$17,O9)</f>
        <v>0</v>
      </c>
      <c r="S9" s="7">
        <f t="shared" ref="S9:S12" si="1">IF(R9=Q9,1,0)</f>
        <v>0</v>
      </c>
      <c r="T9" s="14" t="str">
        <f>IF(R9=Q9,"",IF(R9&gt;Q9,"zu viele Sunny-Schiffe","zu wenig Sunny-Schiffe"))</f>
        <v>zu wenig Sunny-Schiffe</v>
      </c>
      <c r="U9" s="11"/>
      <c r="V9" s="11"/>
      <c r="W9" s="11"/>
      <c r="X9" s="11"/>
      <c r="Y9" s="11"/>
      <c r="Z9" s="11"/>
    </row>
    <row r="10" spans="1:26" ht="24.95" customHeight="1" x14ac:dyDescent="0.3">
      <c r="A10" s="11"/>
      <c r="B10" s="11"/>
      <c r="C10" s="20"/>
      <c r="D10" s="21"/>
      <c r="E10" s="20"/>
      <c r="F10" s="21"/>
      <c r="G10" s="20"/>
      <c r="H10" s="21"/>
      <c r="I10" s="20"/>
      <c r="J10" s="21"/>
      <c r="K10" s="20"/>
      <c r="L10" s="21"/>
      <c r="M10" s="11"/>
      <c r="N10" s="11"/>
      <c r="O10" s="6" t="s">
        <v>3</v>
      </c>
      <c r="P10" s="2" t="s">
        <v>10</v>
      </c>
      <c r="Q10" s="2">
        <v>3</v>
      </c>
      <c r="R10" s="2">
        <f t="shared" si="0"/>
        <v>0</v>
      </c>
      <c r="S10" s="7">
        <f t="shared" si="1"/>
        <v>0</v>
      </c>
      <c r="T10" s="14" t="str">
        <f>IF(R10=Q10,"",IF(R10&gt;Q10,"zu viele Destroyer-Schiffe","zu wenig Destroyer-Schiffe"))</f>
        <v>zu wenig Destroyer-Schiffe</v>
      </c>
      <c r="U10" s="11"/>
      <c r="V10" s="11"/>
      <c r="W10" s="11"/>
      <c r="X10" s="11"/>
      <c r="Y10" s="11"/>
      <c r="Z10" s="11"/>
    </row>
    <row r="11" spans="1:26" ht="24.95" customHeight="1" x14ac:dyDescent="0.3">
      <c r="A11" s="11"/>
      <c r="B11" s="11"/>
      <c r="C11" s="21"/>
      <c r="D11" s="20"/>
      <c r="E11" s="21"/>
      <c r="F11" s="20"/>
      <c r="G11" s="21"/>
      <c r="H11" s="20"/>
      <c r="I11" s="21"/>
      <c r="J11" s="20"/>
      <c r="K11" s="21"/>
      <c r="L11" s="20"/>
      <c r="M11" s="11"/>
      <c r="N11" s="11"/>
      <c r="O11" s="6" t="s">
        <v>4</v>
      </c>
      <c r="P11" s="2" t="s">
        <v>12</v>
      </c>
      <c r="Q11" s="2">
        <v>3</v>
      </c>
      <c r="R11" s="2">
        <f t="shared" si="0"/>
        <v>0</v>
      </c>
      <c r="S11" s="7">
        <f t="shared" si="1"/>
        <v>0</v>
      </c>
      <c r="T11" s="14" t="str">
        <f>IF(R11=Q11,"",IF(R11&gt;Q11,"zu viele Fying Lamb-Schiffe","zu wenig Fying Lamb-Schiffe"))</f>
        <v>zu wenig Fying Lamb-Schiffe</v>
      </c>
      <c r="U11" s="11"/>
      <c r="V11" s="11"/>
      <c r="W11" s="11"/>
      <c r="X11" s="11"/>
      <c r="Y11" s="11"/>
      <c r="Z11" s="11"/>
    </row>
    <row r="12" spans="1:26" ht="24.95" customHeight="1" thickBot="1" x14ac:dyDescent="0.35">
      <c r="A12" s="11"/>
      <c r="B12" s="11"/>
      <c r="C12" s="20"/>
      <c r="D12" s="21"/>
      <c r="E12" s="20"/>
      <c r="F12" s="21"/>
      <c r="G12" s="20"/>
      <c r="H12" s="21"/>
      <c r="I12" s="20"/>
      <c r="J12" s="21"/>
      <c r="K12" s="20"/>
      <c r="L12" s="21"/>
      <c r="M12" s="11"/>
      <c r="N12" s="11"/>
      <c r="O12" s="8" t="s">
        <v>5</v>
      </c>
      <c r="P12" s="9" t="s">
        <v>11</v>
      </c>
      <c r="Q12" s="9">
        <v>2</v>
      </c>
      <c r="R12" s="9">
        <f t="shared" si="0"/>
        <v>0</v>
      </c>
      <c r="S12" s="10">
        <f t="shared" si="1"/>
        <v>0</v>
      </c>
      <c r="T12" s="15" t="str">
        <f>IF(R12=Q12,"",IF(R12&gt;Q12,"zu viele Master-Schiffe","zu wenig Master-Schiffe"))</f>
        <v>zu wenig Master-Schiffe</v>
      </c>
      <c r="U12" s="11"/>
      <c r="V12" s="11"/>
      <c r="W12" s="11"/>
      <c r="X12" s="11"/>
      <c r="Y12" s="11"/>
      <c r="Z12" s="11"/>
    </row>
    <row r="13" spans="1:26" ht="24.95" customHeight="1" x14ac:dyDescent="0.3">
      <c r="A13" s="11"/>
      <c r="B13" s="11"/>
      <c r="C13" s="21"/>
      <c r="D13" s="20"/>
      <c r="E13" s="21"/>
      <c r="F13" s="20"/>
      <c r="G13" s="21"/>
      <c r="H13" s="20"/>
      <c r="I13" s="21"/>
      <c r="J13" s="20"/>
      <c r="K13" s="21"/>
      <c r="L13" s="20"/>
      <c r="M13" s="11"/>
      <c r="N13" s="11"/>
      <c r="O13" s="11"/>
      <c r="P13" s="11"/>
      <c r="Q13" s="11"/>
      <c r="R13" s="12"/>
      <c r="S13" s="11"/>
      <c r="T13" s="11"/>
      <c r="U13" s="11"/>
      <c r="V13" s="11"/>
      <c r="W13" s="11"/>
      <c r="X13" s="11"/>
      <c r="Y13" s="11"/>
      <c r="Z13" s="11"/>
    </row>
    <row r="14" spans="1:26" ht="24.95" customHeight="1" x14ac:dyDescent="0.25">
      <c r="A14" s="11"/>
      <c r="B14" s="11"/>
      <c r="C14" s="20"/>
      <c r="D14" s="21"/>
      <c r="E14" s="20"/>
      <c r="F14" s="21"/>
      <c r="G14" s="20"/>
      <c r="H14" s="21"/>
      <c r="I14" s="20"/>
      <c r="J14" s="21"/>
      <c r="K14" s="20"/>
      <c r="L14" s="2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ht="24.95" customHeight="1" x14ac:dyDescent="0.25">
      <c r="A15" s="11"/>
      <c r="B15" s="11"/>
      <c r="C15" s="21"/>
      <c r="D15" s="20"/>
      <c r="E15" s="21"/>
      <c r="F15" s="20"/>
      <c r="G15" s="21"/>
      <c r="H15" s="20"/>
      <c r="I15" s="21"/>
      <c r="J15" s="20"/>
      <c r="K15" s="21"/>
      <c r="L15" s="20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ht="24.95" customHeight="1" thickBot="1" x14ac:dyDescent="0.3">
      <c r="A16" s="11"/>
      <c r="B16" s="11"/>
      <c r="C16" s="20"/>
      <c r="D16" s="21"/>
      <c r="E16" s="20"/>
      <c r="F16" s="21"/>
      <c r="G16" s="20"/>
      <c r="H16" s="21"/>
      <c r="I16" s="20"/>
      <c r="J16" s="21"/>
      <c r="K16" s="20"/>
      <c r="L16" s="2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ht="24.95" customHeight="1" thickBot="1" x14ac:dyDescent="0.4">
      <c r="A17" s="11"/>
      <c r="B17" s="11"/>
      <c r="C17" s="21"/>
      <c r="D17" s="20"/>
      <c r="E17" s="21"/>
      <c r="F17" s="20"/>
      <c r="G17" s="21"/>
      <c r="H17" s="20"/>
      <c r="I17" s="21"/>
      <c r="J17" s="20"/>
      <c r="K17" s="21"/>
      <c r="L17" s="20"/>
      <c r="M17" s="11"/>
      <c r="N17" s="11"/>
      <c r="O17" s="60" t="str">
        <f>IF(Q8=R8,IF(R9=Q9,IF(Q10=R10,IF(Q11=R11,IF(Q12=R12,"Schiffe sind Positioniert","zu viele/wenige  Master"),"zu viele/wenige Flying Lamb"),"zu viele/wenige  Destroyer"),"zu viele/wenige  Sunny"),"zu viele/wenige  Air")</f>
        <v>zu viele/wenige  Air</v>
      </c>
      <c r="P17" s="61"/>
      <c r="Q17" s="61"/>
      <c r="R17" s="61"/>
      <c r="S17" s="62"/>
      <c r="T17" s="11"/>
      <c r="U17" s="11"/>
      <c r="V17" s="11"/>
      <c r="W17" s="11"/>
      <c r="X17" s="11"/>
      <c r="Y17" s="11"/>
      <c r="Z17" s="11"/>
    </row>
    <row r="18" spans="1:26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26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26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</sheetData>
  <sheetProtection password="CF7A" sheet="1" objects="1" scenarios="1"/>
  <mergeCells count="5">
    <mergeCell ref="A3:D3"/>
    <mergeCell ref="A5:B5"/>
    <mergeCell ref="E3:G3"/>
    <mergeCell ref="O17:S17"/>
    <mergeCell ref="O5:S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haltfläche 2">
              <controlPr locked="0" defaultSize="0" print="0" autoFill="0" autoPict="0" macro="[0]!Zurück">
                <anchor moveWithCells="1" sizeWithCells="1">
                  <from>
                    <xdr:col>19</xdr:col>
                    <xdr:colOff>742950</xdr:colOff>
                    <xdr:row>15</xdr:row>
                    <xdr:rowOff>152400</xdr:rowOff>
                  </from>
                  <to>
                    <xdr:col>20</xdr:col>
                    <xdr:colOff>28575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chaltfläche 3">
              <controlPr locked="0" defaultSize="0" print="0" autoFill="0" autoPict="0" macro="[0]!Spieler1SchiffeZurücksetzten">
                <anchor moveWithCells="1" sizeWithCells="1">
                  <from>
                    <xdr:col>19</xdr:col>
                    <xdr:colOff>0</xdr:colOff>
                    <xdr:row>12</xdr:row>
                    <xdr:rowOff>104775</xdr:rowOff>
                  </from>
                  <to>
                    <xdr:col>20</xdr:col>
                    <xdr:colOff>9525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Z44"/>
  <sheetViews>
    <sheetView showGridLines="0" showRowColHeaders="0" zoomScale="130" zoomScaleNormal="130" workbookViewId="0">
      <selection activeCell="A6" sqref="A6"/>
    </sheetView>
  </sheetViews>
  <sheetFormatPr baseColWidth="10" defaultRowHeight="15" x14ac:dyDescent="0.25"/>
  <cols>
    <col min="3" max="12" width="5.7109375" customWidth="1"/>
    <col min="13" max="13" width="5.140625" customWidth="1"/>
    <col min="14" max="14" width="4.42578125" customWidth="1"/>
    <col min="15" max="15" width="5.7109375" customWidth="1"/>
    <col min="16" max="16" width="14.7109375" customWidth="1"/>
    <col min="17" max="18" width="5.7109375" customWidth="1"/>
    <col min="19" max="19" width="16.7109375" customWidth="1"/>
    <col min="20" max="20" width="30.7109375" customWidth="1"/>
  </cols>
  <sheetData>
    <row r="1" spans="1:2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ht="27" thickBot="1" x14ac:dyDescent="0.45">
      <c r="A3" s="64" t="s">
        <v>15</v>
      </c>
      <c r="B3" s="64"/>
      <c r="C3" s="64"/>
      <c r="D3" s="64"/>
      <c r="E3" s="65" t="str">
        <f>Einstellungen!C12</f>
        <v>Player 2</v>
      </c>
      <c r="F3" s="66"/>
      <c r="G3" s="67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8.75" x14ac:dyDescent="0.3">
      <c r="A5" s="56" t="s">
        <v>1</v>
      </c>
      <c r="B5" s="56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63" t="s">
        <v>18</v>
      </c>
      <c r="P5" s="63"/>
      <c r="Q5" s="63"/>
      <c r="R5" s="63"/>
      <c r="S5" s="63"/>
      <c r="T5" s="11"/>
      <c r="U5" s="11"/>
      <c r="V5" s="11"/>
      <c r="W5" s="11"/>
      <c r="X5" s="11"/>
      <c r="Y5" s="11"/>
      <c r="Z5" s="11"/>
    </row>
    <row r="6" spans="1:26" ht="15.75" thickBot="1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t="19.5" thickBot="1" x14ac:dyDescent="0.3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3"/>
      <c r="P7" s="4"/>
      <c r="Q7" s="4" t="s">
        <v>6</v>
      </c>
      <c r="R7" s="4" t="s">
        <v>7</v>
      </c>
      <c r="S7" s="5" t="s">
        <v>8</v>
      </c>
      <c r="T7" s="16" t="s">
        <v>17</v>
      </c>
      <c r="U7" s="11"/>
      <c r="V7" s="11"/>
      <c r="W7" s="11"/>
      <c r="X7" s="11"/>
      <c r="Y7" s="11"/>
      <c r="Z7" s="11"/>
    </row>
    <row r="8" spans="1:26" ht="24.95" customHeight="1" x14ac:dyDescent="0.3">
      <c r="A8" s="11"/>
      <c r="B8" s="11"/>
      <c r="C8" s="20"/>
      <c r="D8" s="21"/>
      <c r="E8" s="20"/>
      <c r="F8" s="21"/>
      <c r="G8" s="20"/>
      <c r="H8" s="21"/>
      <c r="I8" s="20"/>
      <c r="J8" s="21"/>
      <c r="K8" s="20"/>
      <c r="L8" s="21"/>
      <c r="M8" s="11"/>
      <c r="N8" s="11"/>
      <c r="O8" s="6" t="s">
        <v>2</v>
      </c>
      <c r="P8" s="2" t="s">
        <v>9</v>
      </c>
      <c r="Q8" s="2">
        <v>5</v>
      </c>
      <c r="R8" s="2">
        <f>COUNTIF($C$8:$L$17,O8)</f>
        <v>0</v>
      </c>
      <c r="S8" s="7">
        <f>IF(R8=Q8,1,0)</f>
        <v>0</v>
      </c>
      <c r="T8" s="14" t="str">
        <f>IF(R8=Q8,"",IF(R8&gt;Q8,"zu viele Air-Schiffe","zu wenig Air-Schiffe"))</f>
        <v>zu wenig Air-Schiffe</v>
      </c>
      <c r="U8" s="11"/>
      <c r="V8" s="11"/>
      <c r="W8" s="11"/>
      <c r="X8" s="11"/>
      <c r="Y8" s="11"/>
      <c r="Z8" s="11"/>
    </row>
    <row r="9" spans="1:26" ht="24.95" customHeight="1" x14ac:dyDescent="0.3">
      <c r="A9" s="11"/>
      <c r="B9" s="11"/>
      <c r="C9" s="21"/>
      <c r="D9" s="20"/>
      <c r="E9" s="21"/>
      <c r="F9" s="20"/>
      <c r="G9" s="21"/>
      <c r="H9" s="20"/>
      <c r="I9" s="21"/>
      <c r="J9" s="20"/>
      <c r="K9" s="21"/>
      <c r="L9" s="20"/>
      <c r="M9" s="11"/>
      <c r="N9" s="11"/>
      <c r="O9" s="6" t="s">
        <v>13</v>
      </c>
      <c r="P9" s="2" t="s">
        <v>14</v>
      </c>
      <c r="Q9" s="2">
        <v>4</v>
      </c>
      <c r="R9" s="2">
        <f t="shared" ref="R9:R12" si="0">COUNTIF($C$8:$L$17,O9)</f>
        <v>0</v>
      </c>
      <c r="S9" s="7">
        <f t="shared" ref="S9:S12" si="1">IF(R9=Q9,1,0)</f>
        <v>0</v>
      </c>
      <c r="T9" s="14" t="str">
        <f>IF(R9=Q9,"",IF(R9&gt;Q9,"zu viele Sunny-Schiffe","zu wenig Sunny-Schiffe"))</f>
        <v>zu wenig Sunny-Schiffe</v>
      </c>
      <c r="U9" s="11"/>
      <c r="V9" s="11"/>
      <c r="W9" s="11"/>
      <c r="X9" s="11"/>
      <c r="Y9" s="11"/>
      <c r="Z9" s="11"/>
    </row>
    <row r="10" spans="1:26" ht="24.95" customHeight="1" x14ac:dyDescent="0.3">
      <c r="A10" s="11"/>
      <c r="B10" s="11"/>
      <c r="C10" s="20"/>
      <c r="D10" s="21"/>
      <c r="E10" s="20"/>
      <c r="F10" s="21"/>
      <c r="G10" s="20"/>
      <c r="H10" s="21"/>
      <c r="I10" s="20"/>
      <c r="J10" s="21"/>
      <c r="K10" s="20"/>
      <c r="L10" s="21"/>
      <c r="M10" s="11"/>
      <c r="N10" s="11"/>
      <c r="O10" s="6" t="s">
        <v>3</v>
      </c>
      <c r="P10" s="2" t="s">
        <v>10</v>
      </c>
      <c r="Q10" s="2">
        <v>3</v>
      </c>
      <c r="R10" s="2">
        <f t="shared" si="0"/>
        <v>0</v>
      </c>
      <c r="S10" s="7">
        <f t="shared" si="1"/>
        <v>0</v>
      </c>
      <c r="T10" s="14" t="str">
        <f>IF(R10=Q10,"",IF(R10&gt;Q10,"zu viele Destroyer-Schiffe","zu wenig Destroyer-Schiffe"))</f>
        <v>zu wenig Destroyer-Schiffe</v>
      </c>
      <c r="U10" s="11"/>
      <c r="V10" s="11"/>
      <c r="W10" s="11"/>
      <c r="X10" s="11"/>
      <c r="Y10" s="11"/>
      <c r="Z10" s="11"/>
    </row>
    <row r="11" spans="1:26" ht="24.95" customHeight="1" x14ac:dyDescent="0.3">
      <c r="A11" s="11"/>
      <c r="B11" s="11"/>
      <c r="C11" s="21"/>
      <c r="D11" s="20"/>
      <c r="E11" s="21"/>
      <c r="F11" s="20"/>
      <c r="G11" s="21"/>
      <c r="H11" s="20"/>
      <c r="I11" s="21"/>
      <c r="J11" s="20"/>
      <c r="K11" s="21"/>
      <c r="L11" s="20"/>
      <c r="M11" s="11"/>
      <c r="N11" s="11"/>
      <c r="O11" s="6" t="s">
        <v>4</v>
      </c>
      <c r="P11" s="2" t="s">
        <v>12</v>
      </c>
      <c r="Q11" s="2">
        <v>3</v>
      </c>
      <c r="R11" s="2">
        <f t="shared" si="0"/>
        <v>0</v>
      </c>
      <c r="S11" s="7">
        <f t="shared" si="1"/>
        <v>0</v>
      </c>
      <c r="T11" s="14" t="str">
        <f>IF(R11=Q11,"",IF(R11&gt;Q11,"zu viele Fying Lamb-Schiffe","zu wenig Fying Lamb-Schiffe"))</f>
        <v>zu wenig Fying Lamb-Schiffe</v>
      </c>
      <c r="U11" s="11"/>
      <c r="V11" s="11"/>
      <c r="W11" s="11"/>
      <c r="X11" s="11"/>
      <c r="Y11" s="11"/>
      <c r="Z11" s="11"/>
    </row>
    <row r="12" spans="1:26" ht="24.95" customHeight="1" thickBot="1" x14ac:dyDescent="0.35">
      <c r="A12" s="11"/>
      <c r="B12" s="11"/>
      <c r="C12" s="20"/>
      <c r="D12" s="21"/>
      <c r="E12" s="20"/>
      <c r="F12" s="21"/>
      <c r="G12" s="20"/>
      <c r="H12" s="21"/>
      <c r="I12" s="20"/>
      <c r="J12" s="21"/>
      <c r="K12" s="20"/>
      <c r="L12" s="21"/>
      <c r="M12" s="11"/>
      <c r="N12" s="11"/>
      <c r="O12" s="8" t="s">
        <v>5</v>
      </c>
      <c r="P12" s="9" t="s">
        <v>11</v>
      </c>
      <c r="Q12" s="9">
        <v>2</v>
      </c>
      <c r="R12" s="9">
        <f t="shared" si="0"/>
        <v>0</v>
      </c>
      <c r="S12" s="10">
        <f t="shared" si="1"/>
        <v>0</v>
      </c>
      <c r="T12" s="15" t="str">
        <f>IF(R12=Q12,"",IF(R12&gt;Q12,"zu viele Master-Schiffe","zu wenig Master-Schiffe"))</f>
        <v>zu wenig Master-Schiffe</v>
      </c>
      <c r="U12" s="11"/>
      <c r="V12" s="11"/>
      <c r="W12" s="11"/>
      <c r="X12" s="11"/>
      <c r="Y12" s="11"/>
      <c r="Z12" s="11"/>
    </row>
    <row r="13" spans="1:26" ht="24.95" customHeight="1" x14ac:dyDescent="0.25">
      <c r="A13" s="11"/>
      <c r="B13" s="11"/>
      <c r="C13" s="21"/>
      <c r="D13" s="20"/>
      <c r="E13" s="21"/>
      <c r="F13" s="20"/>
      <c r="G13" s="21"/>
      <c r="H13" s="20"/>
      <c r="I13" s="21"/>
      <c r="J13" s="20"/>
      <c r="K13" s="21"/>
      <c r="L13" s="2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ht="24.95" customHeight="1" x14ac:dyDescent="0.25">
      <c r="A14" s="11"/>
      <c r="B14" s="11"/>
      <c r="C14" s="20"/>
      <c r="D14" s="21"/>
      <c r="E14" s="20"/>
      <c r="F14" s="21"/>
      <c r="G14" s="20"/>
      <c r="H14" s="21"/>
      <c r="I14" s="20"/>
      <c r="J14" s="21"/>
      <c r="K14" s="20"/>
      <c r="L14" s="2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ht="24.95" customHeight="1" x14ac:dyDescent="0.25">
      <c r="A15" s="11"/>
      <c r="B15" s="11"/>
      <c r="C15" s="21"/>
      <c r="D15" s="20"/>
      <c r="E15" s="21"/>
      <c r="F15" s="20"/>
      <c r="G15" s="21"/>
      <c r="H15" s="20"/>
      <c r="I15" s="21"/>
      <c r="J15" s="20"/>
      <c r="K15" s="21"/>
      <c r="L15" s="20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ht="24.95" customHeight="1" thickBot="1" x14ac:dyDescent="0.3">
      <c r="A16" s="11"/>
      <c r="B16" s="11"/>
      <c r="C16" s="20"/>
      <c r="D16" s="21"/>
      <c r="E16" s="20"/>
      <c r="F16" s="21"/>
      <c r="G16" s="20"/>
      <c r="H16" s="21"/>
      <c r="I16" s="20"/>
      <c r="J16" s="21"/>
      <c r="K16" s="20"/>
      <c r="L16" s="2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ht="24.95" customHeight="1" thickBot="1" x14ac:dyDescent="0.4">
      <c r="A17" s="11"/>
      <c r="B17" s="11"/>
      <c r="C17" s="21"/>
      <c r="D17" s="20"/>
      <c r="E17" s="21"/>
      <c r="F17" s="20"/>
      <c r="G17" s="21"/>
      <c r="H17" s="20"/>
      <c r="I17" s="21"/>
      <c r="J17" s="20"/>
      <c r="K17" s="21"/>
      <c r="L17" s="20"/>
      <c r="M17" s="11"/>
      <c r="N17" s="11"/>
      <c r="O17" s="60" t="str">
        <f>IF(Q8=R8,IF(R9=Q9,IF(Q10=R10,IF(Q11=R11,IF(Q12=R12,"Schiffe sind Positioniert","zu viele/wenige  Master"),"zu viele/wenige Flying Lamb"),"zu viele/wenige  Destroyer"),"zu viele/wenige  Sunny"),"zu viele/wenige  Air")</f>
        <v>zu viele/wenige  Air</v>
      </c>
      <c r="P17" s="61"/>
      <c r="Q17" s="61"/>
      <c r="R17" s="61"/>
      <c r="S17" s="62"/>
      <c r="T17" s="11"/>
      <c r="U17" s="11"/>
      <c r="V17" s="11"/>
      <c r="W17" s="11"/>
      <c r="X17" s="11"/>
      <c r="Y17" s="11"/>
      <c r="Z17" s="11"/>
    </row>
    <row r="18" spans="1:26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26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26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</sheetData>
  <sheetProtection password="CF7A" sheet="1" objects="1" scenarios="1"/>
  <mergeCells count="5">
    <mergeCell ref="A3:D3"/>
    <mergeCell ref="A5:B5"/>
    <mergeCell ref="E3:G3"/>
    <mergeCell ref="O17:S17"/>
    <mergeCell ref="O5:S5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chaltfläche 1">
              <controlPr locked="0" defaultSize="0" print="0" autoFill="0" autoPict="0" macro="[0]!Zurück">
                <anchor moveWithCells="1" sizeWithCells="1">
                  <from>
                    <xdr:col>19</xdr:col>
                    <xdr:colOff>771525</xdr:colOff>
                    <xdr:row>15</xdr:row>
                    <xdr:rowOff>152400</xdr:rowOff>
                  </from>
                  <to>
                    <xdr:col>20</xdr:col>
                    <xdr:colOff>47625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Schaltfläche 2">
              <controlPr locked="0" defaultSize="0" print="0" autoFill="0" autoPict="0" macro="[0]!Spieler1SchiffeZurücksetzten">
                <anchor moveWithCells="1" sizeWithCells="1">
                  <from>
                    <xdr:col>18</xdr:col>
                    <xdr:colOff>1104900</xdr:colOff>
                    <xdr:row>12</xdr:row>
                    <xdr:rowOff>95250</xdr:rowOff>
                  </from>
                  <to>
                    <xdr:col>19</xdr:col>
                    <xdr:colOff>2038350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C29"/>
  <sheetViews>
    <sheetView showGridLines="0" showRowColHeaders="0" zoomScale="120" zoomScaleNormal="120" workbookViewId="0">
      <selection activeCell="AB13" sqref="AB13"/>
    </sheetView>
  </sheetViews>
  <sheetFormatPr baseColWidth="10" defaultRowHeight="15" x14ac:dyDescent="0.25"/>
  <cols>
    <col min="3" max="24" width="5.7109375" customWidth="1"/>
  </cols>
  <sheetData>
    <row r="1" spans="1:29" ht="18.75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68" t="s">
        <v>21</v>
      </c>
      <c r="T1" s="69"/>
      <c r="U1" s="69"/>
      <c r="V1" s="69"/>
      <c r="W1" s="69"/>
      <c r="X1" s="70"/>
      <c r="Y1" s="11"/>
      <c r="Z1" s="11"/>
      <c r="AA1" s="11"/>
      <c r="AB1" s="11"/>
      <c r="AC1" s="11"/>
    </row>
    <row r="2" spans="1:29" ht="15.75" customHeight="1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87" t="str">
        <f>Einstellungen!C12</f>
        <v>Player 2</v>
      </c>
      <c r="T2" s="88"/>
      <c r="U2" s="28" t="s">
        <v>25</v>
      </c>
      <c r="V2" s="29">
        <f>'Spielplan Spieler 2'!S5</f>
        <v>0</v>
      </c>
      <c r="W2" s="28" t="s">
        <v>26</v>
      </c>
      <c r="X2" s="27"/>
      <c r="Y2" s="11"/>
      <c r="Z2" s="11"/>
      <c r="AA2" s="11"/>
      <c r="AB2" s="11"/>
      <c r="AC2" s="11"/>
    </row>
    <row r="3" spans="1:29" ht="15" customHeight="1" x14ac:dyDescent="0.25">
      <c r="A3" s="11"/>
      <c r="B3" s="11"/>
      <c r="C3" s="71" t="str">
        <f>Einstellungen!$C$5</f>
        <v>Player 1</v>
      </c>
      <c r="D3" s="72"/>
      <c r="E3" s="72"/>
      <c r="F3" s="72"/>
      <c r="G3" s="75" t="s">
        <v>22</v>
      </c>
      <c r="H3" s="76"/>
      <c r="I3" s="76"/>
      <c r="J3" s="76"/>
      <c r="K3" s="77"/>
      <c r="L3" s="11"/>
      <c r="M3" s="89" t="str">
        <f>IF(S5=0,"",IF(SUM('Lageplan Spieler 2'!R8:R12)='Spielplan Spieler 1'!S5,"Sie haben Gewonnen!",""))</f>
        <v/>
      </c>
      <c r="N3" s="89"/>
      <c r="O3" s="89"/>
      <c r="P3" s="89"/>
      <c r="Q3" s="89"/>
      <c r="R3" s="11"/>
      <c r="S3" s="18"/>
      <c r="T3" s="26"/>
      <c r="U3" s="26"/>
      <c r="V3" s="26"/>
      <c r="W3" s="26"/>
      <c r="X3" s="27"/>
      <c r="Y3" s="11"/>
      <c r="Z3" s="11"/>
      <c r="AA3" s="11"/>
      <c r="AB3" s="11"/>
      <c r="AC3" s="11"/>
    </row>
    <row r="4" spans="1:29" ht="16.5" thickBot="1" x14ac:dyDescent="0.3">
      <c r="A4" s="11"/>
      <c r="B4" s="11"/>
      <c r="C4" s="73"/>
      <c r="D4" s="74"/>
      <c r="E4" s="74"/>
      <c r="F4" s="74"/>
      <c r="G4" s="78"/>
      <c r="H4" s="78"/>
      <c r="I4" s="78"/>
      <c r="J4" s="78"/>
      <c r="K4" s="79"/>
      <c r="L4" s="11"/>
      <c r="M4" s="89"/>
      <c r="N4" s="89"/>
      <c r="O4" s="89"/>
      <c r="P4" s="89"/>
      <c r="Q4" s="89"/>
      <c r="R4" s="11"/>
      <c r="S4" s="18">
        <f>COUNTA(C9:L18)</f>
        <v>0</v>
      </c>
      <c r="T4" s="80" t="s">
        <v>23</v>
      </c>
      <c r="U4" s="80"/>
      <c r="V4" s="80"/>
      <c r="W4" s="80"/>
      <c r="X4" s="81"/>
      <c r="Y4" s="11"/>
      <c r="Z4" s="11"/>
      <c r="AA4" s="11"/>
      <c r="AB4" s="11"/>
      <c r="AC4" s="11"/>
    </row>
    <row r="5" spans="1:29" ht="16.5" thickBot="1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9">
        <f>COUNTIF(O9:X18,"✓")</f>
        <v>0</v>
      </c>
      <c r="T5" s="85" t="s">
        <v>24</v>
      </c>
      <c r="U5" s="85"/>
      <c r="V5" s="85"/>
      <c r="W5" s="85"/>
      <c r="X5" s="86"/>
      <c r="Y5" s="11"/>
      <c r="Z5" s="11"/>
      <c r="AA5" s="11"/>
      <c r="AB5" s="11"/>
      <c r="AC5" s="11"/>
    </row>
    <row r="6" spans="1:29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x14ac:dyDescent="0.25">
      <c r="A7" s="11"/>
      <c r="B7" s="11"/>
      <c r="C7" s="84" t="s">
        <v>30</v>
      </c>
      <c r="D7" s="84"/>
      <c r="E7" s="84"/>
      <c r="F7" s="84"/>
      <c r="G7" s="84"/>
      <c r="H7" s="84"/>
      <c r="I7" s="84"/>
      <c r="J7" s="84"/>
      <c r="K7" s="84"/>
      <c r="L7" s="84"/>
      <c r="M7" s="11"/>
      <c r="N7" s="11"/>
      <c r="O7" s="82" t="s">
        <v>28</v>
      </c>
      <c r="P7" s="82"/>
      <c r="Q7" s="82"/>
      <c r="R7" s="82"/>
      <c r="S7" s="82"/>
      <c r="T7" s="82"/>
      <c r="U7" s="82"/>
      <c r="V7" s="82"/>
      <c r="W7" s="82"/>
      <c r="X7" s="82"/>
      <c r="Y7" s="11"/>
      <c r="Z7" s="11"/>
      <c r="AA7" s="11"/>
      <c r="AB7" s="11"/>
      <c r="AC7" s="11"/>
    </row>
    <row r="8" spans="1:29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83" t="s">
        <v>29</v>
      </c>
      <c r="P8" s="83"/>
      <c r="Q8" s="83"/>
      <c r="R8" s="83"/>
      <c r="S8" s="83"/>
      <c r="T8" s="83"/>
      <c r="U8" s="83"/>
      <c r="V8" s="83"/>
      <c r="W8" s="83"/>
      <c r="X8" s="83"/>
      <c r="Y8" s="11"/>
      <c r="Z8" s="11"/>
      <c r="AA8" s="11"/>
      <c r="AB8" s="11"/>
      <c r="AC8" s="11"/>
    </row>
    <row r="9" spans="1:29" ht="24.95" customHeight="1" x14ac:dyDescent="0.25">
      <c r="A9" s="11"/>
      <c r="B9" s="11"/>
      <c r="C9" s="31"/>
      <c r="D9" s="32"/>
      <c r="E9" s="31"/>
      <c r="F9" s="32"/>
      <c r="G9" s="31"/>
      <c r="H9" s="32"/>
      <c r="I9" s="31"/>
      <c r="J9" s="32"/>
      <c r="K9" s="31"/>
      <c r="L9" s="32"/>
      <c r="M9" s="11"/>
      <c r="N9" s="11"/>
      <c r="O9" s="22" t="str">
        <f>IF('Spielplan Spieler 1'!C9="","",IF('Lageplan Spieler 2'!C8='Lageplan Spieler 2'!$O$8,"✓",IF('Lageplan Spieler 2'!C8='Lageplan Spieler 2'!$O$9,"✓",IF('Lageplan Spieler 2'!C8='Lageplan Spieler 2'!$O$10,"✓",IF('Lageplan Spieler 2'!C8='Lageplan Spieler 2'!$O$11,"✓",IF('Lageplan Spieler 2'!C8='Lageplan Spieler 2'!$O$12,"✓","X"))))))</f>
        <v/>
      </c>
      <c r="P9" s="23" t="str">
        <f>IF('Spielplan Spieler 1'!D9="","",IF('Lageplan Spieler 2'!D8='Lageplan Spieler 2'!$O$8,"✓",IF('Lageplan Spieler 2'!D8='Lageplan Spieler 2'!$O$9,"✓",IF('Lageplan Spieler 2'!D8='Lageplan Spieler 2'!$O$10,"✓",IF('Lageplan Spieler 2'!D8='Lageplan Spieler 2'!$O$11,"✓",IF('Lageplan Spieler 2'!D8='Lageplan Spieler 2'!$O$12,"✓","X"))))))</f>
        <v/>
      </c>
      <c r="Q9" s="22" t="str">
        <f>IF('Spielplan Spieler 1'!E9="","",IF('Lageplan Spieler 2'!E8='Lageplan Spieler 2'!$O$8,"✓",IF('Lageplan Spieler 2'!E8='Lageplan Spieler 2'!$O$9,"✓",IF('Lageplan Spieler 2'!E8='Lageplan Spieler 2'!$O$10,"✓",IF('Lageplan Spieler 2'!E8='Lageplan Spieler 2'!$O$11,"✓",IF('Lageplan Spieler 2'!E8='Lageplan Spieler 2'!$O$12,"✓","X"))))))</f>
        <v/>
      </c>
      <c r="R9" s="23" t="str">
        <f>IF('Spielplan Spieler 1'!F9="","",IF('Lageplan Spieler 2'!F8='Lageplan Spieler 2'!$O$8,"✓",IF('Lageplan Spieler 2'!F8='Lageplan Spieler 2'!$O$9,"✓",IF('Lageplan Spieler 2'!F8='Lageplan Spieler 2'!$O$10,"✓",IF('Lageplan Spieler 2'!F8='Lageplan Spieler 2'!$O$11,"✓",IF('Lageplan Spieler 2'!F8='Lageplan Spieler 2'!$O$12,"✓","X"))))))</f>
        <v/>
      </c>
      <c r="S9" s="22" t="str">
        <f>IF('Spielplan Spieler 1'!G9="","",IF('Lageplan Spieler 2'!G8='Lageplan Spieler 2'!$O$8,"✓",IF('Lageplan Spieler 2'!G8='Lageplan Spieler 2'!$O$9,"✓",IF('Lageplan Spieler 2'!G8='Lageplan Spieler 2'!$O$10,"✓",IF('Lageplan Spieler 2'!G8='Lageplan Spieler 2'!$O$11,"✓",IF('Lageplan Spieler 2'!G8='Lageplan Spieler 2'!$O$12,"✓","X"))))))</f>
        <v/>
      </c>
      <c r="T9" s="23" t="str">
        <f>IF('Spielplan Spieler 1'!H9="","",IF('Lageplan Spieler 2'!H8='Lageplan Spieler 2'!$O$8,"✓",IF('Lageplan Spieler 2'!H8='Lageplan Spieler 2'!$O$9,"✓",IF('Lageplan Spieler 2'!H8='Lageplan Spieler 2'!$O$10,"✓",IF('Lageplan Spieler 2'!H8='Lageplan Spieler 2'!$O$11,"✓",IF('Lageplan Spieler 2'!H8='Lageplan Spieler 2'!$O$12,"✓","X"))))))</f>
        <v/>
      </c>
      <c r="U9" s="22" t="str">
        <f>IF('Spielplan Spieler 1'!I9="","",IF('Lageplan Spieler 2'!I8='Lageplan Spieler 2'!$O$8,"✓",IF('Lageplan Spieler 2'!I8='Lageplan Spieler 2'!$O$9,"✓",IF('Lageplan Spieler 2'!I8='Lageplan Spieler 2'!$O$10,"✓",IF('Lageplan Spieler 2'!I8='Lageplan Spieler 2'!$O$11,"✓",IF('Lageplan Spieler 2'!I8='Lageplan Spieler 2'!$O$12,"✓","X"))))))</f>
        <v/>
      </c>
      <c r="V9" s="23" t="str">
        <f>IF('Spielplan Spieler 1'!J9="","",IF('Lageplan Spieler 2'!J8='Lageplan Spieler 2'!$O$8,"✓",IF('Lageplan Spieler 2'!J8='Lageplan Spieler 2'!$O$9,"✓",IF('Lageplan Spieler 2'!J8='Lageplan Spieler 2'!$O$10,"✓",IF('Lageplan Spieler 2'!J8='Lageplan Spieler 2'!$O$11,"✓",IF('Lageplan Spieler 2'!J8='Lageplan Spieler 2'!$O$12,"✓","X"))))))</f>
        <v/>
      </c>
      <c r="W9" s="22" t="str">
        <f>IF('Spielplan Spieler 1'!K9="","",IF('Lageplan Spieler 2'!K8='Lageplan Spieler 2'!$O$8,"✓",IF('Lageplan Spieler 2'!K8='Lageplan Spieler 2'!$O$9,"✓",IF('Lageplan Spieler 2'!K8='Lageplan Spieler 2'!$O$10,"✓",IF('Lageplan Spieler 2'!K8='Lageplan Spieler 2'!$O$11,"✓",IF('Lageplan Spieler 2'!K8='Lageplan Spieler 2'!$O$12,"✓","X"))))))</f>
        <v/>
      </c>
      <c r="X9" s="23" t="str">
        <f>IF('Spielplan Spieler 1'!L9="","",IF('Lageplan Spieler 2'!L8='Lageplan Spieler 2'!$O$8,"✓",IF('Lageplan Spieler 2'!L8='Lageplan Spieler 2'!$O$9,"✓",IF('Lageplan Spieler 2'!L8='Lageplan Spieler 2'!$O$10,"✓",IF('Lageplan Spieler 2'!L8='Lageplan Spieler 2'!$O$11,"✓",IF('Lageplan Spieler 2'!L8='Lageplan Spieler 2'!$O$12,"✓","X"))))))</f>
        <v/>
      </c>
      <c r="Y9" s="11"/>
      <c r="Z9" s="11"/>
      <c r="AA9" s="11"/>
      <c r="AB9" s="11"/>
      <c r="AC9" s="11"/>
    </row>
    <row r="10" spans="1:29" ht="24.95" customHeight="1" x14ac:dyDescent="0.25">
      <c r="A10" s="11"/>
      <c r="B10" s="11"/>
      <c r="C10" s="32"/>
      <c r="D10" s="31"/>
      <c r="E10" s="32"/>
      <c r="F10" s="31"/>
      <c r="G10" s="32"/>
      <c r="H10" s="31"/>
      <c r="I10" s="32"/>
      <c r="J10" s="31"/>
      <c r="K10" s="32"/>
      <c r="L10" s="31"/>
      <c r="M10" s="11"/>
      <c r="N10" s="11"/>
      <c r="O10" s="23" t="str">
        <f>IF('Spielplan Spieler 1'!C10="","",IF('Lageplan Spieler 2'!C9='Lageplan Spieler 2'!$O$8,"✓",IF('Lageplan Spieler 2'!C9='Lageplan Spieler 2'!$O$9,"✓",IF('Lageplan Spieler 2'!C9='Lageplan Spieler 2'!$O$10,"✓",IF('Lageplan Spieler 2'!C9='Lageplan Spieler 2'!$O$11,"✓",IF('Lageplan Spieler 2'!C9='Lageplan Spieler 2'!$O$12,"✓","X"))))))</f>
        <v/>
      </c>
      <c r="P10" s="22" t="str">
        <f>IF('Spielplan Spieler 1'!D10="","",IF('Lageplan Spieler 2'!D9='Lageplan Spieler 2'!$O$8,"✓",IF('Lageplan Spieler 2'!D9='Lageplan Spieler 2'!$O$9,"✓",IF('Lageplan Spieler 2'!D9='Lageplan Spieler 2'!$O$10,"✓",IF('Lageplan Spieler 2'!D9='Lageplan Spieler 2'!$O$11,"✓",IF('Lageplan Spieler 2'!D9='Lageplan Spieler 2'!$O$12,"✓","X"))))))</f>
        <v/>
      </c>
      <c r="Q10" s="23" t="str">
        <f>IF('Spielplan Spieler 1'!E10="","",IF('Lageplan Spieler 2'!E9='Lageplan Spieler 2'!$O$8,"✓",IF('Lageplan Spieler 2'!E9='Lageplan Spieler 2'!$O$9,"✓",IF('Lageplan Spieler 2'!E9='Lageplan Spieler 2'!$O$10,"✓",IF('Lageplan Spieler 2'!E9='Lageplan Spieler 2'!$O$11,"✓",IF('Lageplan Spieler 2'!E9='Lageplan Spieler 2'!$O$12,"✓","X"))))))</f>
        <v/>
      </c>
      <c r="R10" s="22" t="str">
        <f>IF('Spielplan Spieler 1'!F10="","",IF('Lageplan Spieler 2'!F9='Lageplan Spieler 2'!$O$8,"✓",IF('Lageplan Spieler 2'!F9='Lageplan Spieler 2'!$O$9,"✓",IF('Lageplan Spieler 2'!F9='Lageplan Spieler 2'!$O$10,"✓",IF('Lageplan Spieler 2'!F9='Lageplan Spieler 2'!$O$11,"✓",IF('Lageplan Spieler 2'!F9='Lageplan Spieler 2'!$O$12,"✓","X"))))))</f>
        <v/>
      </c>
      <c r="S10" s="23" t="str">
        <f>IF('Spielplan Spieler 1'!G10="","",IF('Lageplan Spieler 2'!G9='Lageplan Spieler 2'!$O$8,"✓",IF('Lageplan Spieler 2'!G9='Lageplan Spieler 2'!$O$9,"✓",IF('Lageplan Spieler 2'!G9='Lageplan Spieler 2'!$O$10,"✓",IF('Lageplan Spieler 2'!G9='Lageplan Spieler 2'!$O$11,"✓",IF('Lageplan Spieler 2'!G9='Lageplan Spieler 2'!$O$12,"✓","X"))))))</f>
        <v/>
      </c>
      <c r="T10" s="22" t="str">
        <f>IF('Spielplan Spieler 1'!H10="","",IF('Lageplan Spieler 2'!H9='Lageplan Spieler 2'!$O$8,"✓",IF('Lageplan Spieler 2'!H9='Lageplan Spieler 2'!$O$9,"✓",IF('Lageplan Spieler 2'!H9='Lageplan Spieler 2'!$O$10,"✓",IF('Lageplan Spieler 2'!H9='Lageplan Spieler 2'!$O$11,"✓",IF('Lageplan Spieler 2'!H9='Lageplan Spieler 2'!$O$12,"✓","X"))))))</f>
        <v/>
      </c>
      <c r="U10" s="23" t="str">
        <f>IF('Spielplan Spieler 1'!I10="","",IF('Lageplan Spieler 2'!I9='Lageplan Spieler 2'!$O$8,"✓",IF('Lageplan Spieler 2'!I9='Lageplan Spieler 2'!$O$9,"✓",IF('Lageplan Spieler 2'!I9='Lageplan Spieler 2'!$O$10,"✓",IF('Lageplan Spieler 2'!I9='Lageplan Spieler 2'!$O$11,"✓",IF('Lageplan Spieler 2'!I9='Lageplan Spieler 2'!$O$12,"✓","X"))))))</f>
        <v/>
      </c>
      <c r="V10" s="22" t="str">
        <f>IF('Spielplan Spieler 1'!J10="","",IF('Lageplan Spieler 2'!J9='Lageplan Spieler 2'!$O$8,"✓",IF('Lageplan Spieler 2'!J9='Lageplan Spieler 2'!$O$9,"✓",IF('Lageplan Spieler 2'!J9='Lageplan Spieler 2'!$O$10,"✓",IF('Lageplan Spieler 2'!J9='Lageplan Spieler 2'!$O$11,"✓",IF('Lageplan Spieler 2'!J9='Lageplan Spieler 2'!$O$12,"✓","X"))))))</f>
        <v/>
      </c>
      <c r="W10" s="23" t="str">
        <f>IF('Spielplan Spieler 1'!K10="","",IF('Lageplan Spieler 2'!K9='Lageplan Spieler 2'!$O$8,"✓",IF('Lageplan Spieler 2'!K9='Lageplan Spieler 2'!$O$9,"✓",IF('Lageplan Spieler 2'!K9='Lageplan Spieler 2'!$O$10,"✓",IF('Lageplan Spieler 2'!K9='Lageplan Spieler 2'!$O$11,"✓",IF('Lageplan Spieler 2'!K9='Lageplan Spieler 2'!$O$12,"✓","X"))))))</f>
        <v/>
      </c>
      <c r="X10" s="22" t="str">
        <f>IF('Spielplan Spieler 1'!L10="","",IF('Lageplan Spieler 2'!L9='Lageplan Spieler 2'!$O$8,"✓",IF('Lageplan Spieler 2'!L9='Lageplan Spieler 2'!$O$9,"✓",IF('Lageplan Spieler 2'!L9='Lageplan Spieler 2'!$O$10,"✓",IF('Lageplan Spieler 2'!L9='Lageplan Spieler 2'!$O$11,"✓",IF('Lageplan Spieler 2'!L9='Lageplan Spieler 2'!$O$12,"✓","X"))))))</f>
        <v/>
      </c>
      <c r="Y10" s="11"/>
      <c r="Z10" s="11"/>
      <c r="AA10" s="11"/>
      <c r="AB10" s="11"/>
      <c r="AC10" s="11"/>
    </row>
    <row r="11" spans="1:29" ht="24.95" customHeight="1" x14ac:dyDescent="0.25">
      <c r="A11" s="11"/>
      <c r="B11" s="11"/>
      <c r="C11" s="31"/>
      <c r="D11" s="32"/>
      <c r="E11" s="31"/>
      <c r="F11" s="32"/>
      <c r="G11" s="31"/>
      <c r="H11" s="32"/>
      <c r="I11" s="31"/>
      <c r="J11" s="32"/>
      <c r="K11" s="31"/>
      <c r="L11" s="32"/>
      <c r="M11" s="11"/>
      <c r="N11" s="11"/>
      <c r="O11" s="22" t="str">
        <f>IF('Spielplan Spieler 1'!C11="","",IF('Lageplan Spieler 2'!C10='Lageplan Spieler 2'!$O$8,"✓",IF('Lageplan Spieler 2'!C10='Lageplan Spieler 2'!$O$9,"✓",IF('Lageplan Spieler 2'!C10='Lageplan Spieler 2'!$O$10,"✓",IF('Lageplan Spieler 2'!C10='Lageplan Spieler 2'!$O$11,"✓",IF('Lageplan Spieler 2'!C10='Lageplan Spieler 2'!$O$12,"✓","X"))))))</f>
        <v/>
      </c>
      <c r="P11" s="23" t="str">
        <f>IF('Spielplan Spieler 1'!D11="","",IF('Lageplan Spieler 2'!D10='Lageplan Spieler 2'!$O$8,"✓",IF('Lageplan Spieler 2'!D10='Lageplan Spieler 2'!$O$9,"✓",IF('Lageplan Spieler 2'!D10='Lageplan Spieler 2'!$O$10,"✓",IF('Lageplan Spieler 2'!D10='Lageplan Spieler 2'!$O$11,"✓",IF('Lageplan Spieler 2'!D10='Lageplan Spieler 2'!$O$12,"✓","X"))))))</f>
        <v/>
      </c>
      <c r="Q11" s="22" t="str">
        <f>IF('Spielplan Spieler 1'!E11="","",IF('Lageplan Spieler 2'!E10='Lageplan Spieler 2'!$O$8,"✓",IF('Lageplan Spieler 2'!E10='Lageplan Spieler 2'!$O$9,"✓",IF('Lageplan Spieler 2'!E10='Lageplan Spieler 2'!$O$10,"✓",IF('Lageplan Spieler 2'!E10='Lageplan Spieler 2'!$O$11,"✓",IF('Lageplan Spieler 2'!E10='Lageplan Spieler 2'!$O$12,"✓","X"))))))</f>
        <v/>
      </c>
      <c r="R11" s="23" t="str">
        <f>IF('Spielplan Spieler 1'!F11="","",IF('Lageplan Spieler 2'!F10='Lageplan Spieler 2'!$O$8,"✓",IF('Lageplan Spieler 2'!F10='Lageplan Spieler 2'!$O$9,"✓",IF('Lageplan Spieler 2'!F10='Lageplan Spieler 2'!$O$10,"✓",IF('Lageplan Spieler 2'!F10='Lageplan Spieler 2'!$O$11,"✓",IF('Lageplan Spieler 2'!F10='Lageplan Spieler 2'!$O$12,"✓","X"))))))</f>
        <v/>
      </c>
      <c r="S11" s="22" t="str">
        <f>IF('Spielplan Spieler 1'!G11="","",IF('Lageplan Spieler 2'!G10='Lageplan Spieler 2'!$O$8,"✓",IF('Lageplan Spieler 2'!G10='Lageplan Spieler 2'!$O$9,"✓",IF('Lageplan Spieler 2'!G10='Lageplan Spieler 2'!$O$10,"✓",IF('Lageplan Spieler 2'!G10='Lageplan Spieler 2'!$O$11,"✓",IF('Lageplan Spieler 2'!G10='Lageplan Spieler 2'!$O$12,"✓","X"))))))</f>
        <v/>
      </c>
      <c r="T11" s="23" t="str">
        <f>IF('Spielplan Spieler 1'!H11="","",IF('Lageplan Spieler 2'!H10='Lageplan Spieler 2'!$O$8,"✓",IF('Lageplan Spieler 2'!H10='Lageplan Spieler 2'!$O$9,"✓",IF('Lageplan Spieler 2'!H10='Lageplan Spieler 2'!$O$10,"✓",IF('Lageplan Spieler 2'!H10='Lageplan Spieler 2'!$O$11,"✓",IF('Lageplan Spieler 2'!H10='Lageplan Spieler 2'!$O$12,"✓","X"))))))</f>
        <v/>
      </c>
      <c r="U11" s="22" t="str">
        <f>IF('Spielplan Spieler 1'!I11="","",IF('Lageplan Spieler 2'!I10='Lageplan Spieler 2'!$O$8,"✓",IF('Lageplan Spieler 2'!I10='Lageplan Spieler 2'!$O$9,"✓",IF('Lageplan Spieler 2'!I10='Lageplan Spieler 2'!$O$10,"✓",IF('Lageplan Spieler 2'!I10='Lageplan Spieler 2'!$O$11,"✓",IF('Lageplan Spieler 2'!I10='Lageplan Spieler 2'!$O$12,"✓","X"))))))</f>
        <v/>
      </c>
      <c r="V11" s="23" t="str">
        <f>IF('Spielplan Spieler 1'!J11="","",IF('Lageplan Spieler 2'!J10='Lageplan Spieler 2'!$O$8,"✓",IF('Lageplan Spieler 2'!J10='Lageplan Spieler 2'!$O$9,"✓",IF('Lageplan Spieler 2'!J10='Lageplan Spieler 2'!$O$10,"✓",IF('Lageplan Spieler 2'!J10='Lageplan Spieler 2'!$O$11,"✓",IF('Lageplan Spieler 2'!J10='Lageplan Spieler 2'!$O$12,"✓","X"))))))</f>
        <v/>
      </c>
      <c r="W11" s="22" t="str">
        <f>IF('Spielplan Spieler 1'!K11="","",IF('Lageplan Spieler 2'!K10='Lageplan Spieler 2'!$O$8,"✓",IF('Lageplan Spieler 2'!K10='Lageplan Spieler 2'!$O$9,"✓",IF('Lageplan Spieler 2'!K10='Lageplan Spieler 2'!$O$10,"✓",IF('Lageplan Spieler 2'!K10='Lageplan Spieler 2'!$O$11,"✓",IF('Lageplan Spieler 2'!K10='Lageplan Spieler 2'!$O$12,"✓","X"))))))</f>
        <v/>
      </c>
      <c r="X11" s="23" t="str">
        <f>IF('Spielplan Spieler 1'!L11="","",IF('Lageplan Spieler 2'!L10='Lageplan Spieler 2'!$O$8,"✓",IF('Lageplan Spieler 2'!L10='Lageplan Spieler 2'!$O$9,"✓",IF('Lageplan Spieler 2'!L10='Lageplan Spieler 2'!$O$10,"✓",IF('Lageplan Spieler 2'!L10='Lageplan Spieler 2'!$O$11,"✓",IF('Lageplan Spieler 2'!L10='Lageplan Spieler 2'!$O$12,"✓","X"))))))</f>
        <v/>
      </c>
      <c r="Y11" s="11"/>
      <c r="Z11" s="11"/>
      <c r="AA11" s="11"/>
      <c r="AB11" s="11"/>
      <c r="AC11" s="11"/>
    </row>
    <row r="12" spans="1:29" ht="24.95" customHeight="1" x14ac:dyDescent="0.25">
      <c r="A12" s="11"/>
      <c r="B12" s="11"/>
      <c r="C12" s="32"/>
      <c r="D12" s="31"/>
      <c r="E12" s="32"/>
      <c r="F12" s="31"/>
      <c r="G12" s="32"/>
      <c r="H12" s="31"/>
      <c r="I12" s="32"/>
      <c r="J12" s="31"/>
      <c r="K12" s="32"/>
      <c r="L12" s="31"/>
      <c r="M12" s="11"/>
      <c r="N12" s="11"/>
      <c r="O12" s="23" t="str">
        <f>IF('Spielplan Spieler 1'!C12="","",IF('Lageplan Spieler 2'!C11='Lageplan Spieler 2'!$O$8,"✓",IF('Lageplan Spieler 2'!C11='Lageplan Spieler 2'!$O$9,"✓",IF('Lageplan Spieler 2'!C11='Lageplan Spieler 2'!$O$10,"✓",IF('Lageplan Spieler 2'!C11='Lageplan Spieler 2'!$O$11,"✓",IF('Lageplan Spieler 2'!C11='Lageplan Spieler 2'!$O$12,"✓","X"))))))</f>
        <v/>
      </c>
      <c r="P12" s="22" t="str">
        <f>IF('Spielplan Spieler 1'!D12="","",IF('Lageplan Spieler 2'!D11='Lageplan Spieler 2'!$O$8,"✓",IF('Lageplan Spieler 2'!D11='Lageplan Spieler 2'!$O$9,"✓",IF('Lageplan Spieler 2'!D11='Lageplan Spieler 2'!$O$10,"✓",IF('Lageplan Spieler 2'!D11='Lageplan Spieler 2'!$O$11,"✓",IF('Lageplan Spieler 2'!D11='Lageplan Spieler 2'!$O$12,"✓","X"))))))</f>
        <v/>
      </c>
      <c r="Q12" s="23" t="str">
        <f>IF('Spielplan Spieler 1'!E12="","",IF('Lageplan Spieler 2'!E11='Lageplan Spieler 2'!$O$8,"✓",IF('Lageplan Spieler 2'!E11='Lageplan Spieler 2'!$O$9,"✓",IF('Lageplan Spieler 2'!E11='Lageplan Spieler 2'!$O$10,"✓",IF('Lageplan Spieler 2'!E11='Lageplan Spieler 2'!$O$11,"✓",IF('Lageplan Spieler 2'!E11='Lageplan Spieler 2'!$O$12,"✓","X"))))))</f>
        <v/>
      </c>
      <c r="R12" s="22" t="str">
        <f>IF('Spielplan Spieler 1'!F12="","",IF('Lageplan Spieler 2'!F11='Lageplan Spieler 2'!$O$8,"✓",IF('Lageplan Spieler 2'!F11='Lageplan Spieler 2'!$O$9,"✓",IF('Lageplan Spieler 2'!F11='Lageplan Spieler 2'!$O$10,"✓",IF('Lageplan Spieler 2'!F11='Lageplan Spieler 2'!$O$11,"✓",IF('Lageplan Spieler 2'!F11='Lageplan Spieler 2'!$O$12,"✓","X"))))))</f>
        <v/>
      </c>
      <c r="S12" s="23" t="str">
        <f>IF('Spielplan Spieler 1'!G12="","",IF('Lageplan Spieler 2'!G11='Lageplan Spieler 2'!$O$8,"✓",IF('Lageplan Spieler 2'!G11='Lageplan Spieler 2'!$O$9,"✓",IF('Lageplan Spieler 2'!G11='Lageplan Spieler 2'!$O$10,"✓",IF('Lageplan Spieler 2'!G11='Lageplan Spieler 2'!$O$11,"✓",IF('Lageplan Spieler 2'!G11='Lageplan Spieler 2'!$O$12,"✓","X"))))))</f>
        <v/>
      </c>
      <c r="T12" s="22" t="str">
        <f>IF('Spielplan Spieler 1'!H12="","",IF('Lageplan Spieler 2'!H11='Lageplan Spieler 2'!$O$8,"✓",IF('Lageplan Spieler 2'!H11='Lageplan Spieler 2'!$O$9,"✓",IF('Lageplan Spieler 2'!H11='Lageplan Spieler 2'!$O$10,"✓",IF('Lageplan Spieler 2'!H11='Lageplan Spieler 2'!$O$11,"✓",IF('Lageplan Spieler 2'!H11='Lageplan Spieler 2'!$O$12,"✓","X"))))))</f>
        <v/>
      </c>
      <c r="U12" s="23" t="str">
        <f>IF('Spielplan Spieler 1'!I12="","",IF('Lageplan Spieler 2'!I11='Lageplan Spieler 2'!$O$8,"✓",IF('Lageplan Spieler 2'!I11='Lageplan Spieler 2'!$O$9,"✓",IF('Lageplan Spieler 2'!I11='Lageplan Spieler 2'!$O$10,"✓",IF('Lageplan Spieler 2'!I11='Lageplan Spieler 2'!$O$11,"✓",IF('Lageplan Spieler 2'!I11='Lageplan Spieler 2'!$O$12,"✓","X"))))))</f>
        <v/>
      </c>
      <c r="V12" s="22" t="str">
        <f>IF('Spielplan Spieler 1'!J12="","",IF('Lageplan Spieler 2'!J11='Lageplan Spieler 2'!$O$8,"✓",IF('Lageplan Spieler 2'!J11='Lageplan Spieler 2'!$O$9,"✓",IF('Lageplan Spieler 2'!J11='Lageplan Spieler 2'!$O$10,"✓",IF('Lageplan Spieler 2'!J11='Lageplan Spieler 2'!$O$11,"✓",IF('Lageplan Spieler 2'!J11='Lageplan Spieler 2'!$O$12,"✓","X"))))))</f>
        <v/>
      </c>
      <c r="W12" s="23" t="str">
        <f>IF('Spielplan Spieler 1'!K12="","",IF('Lageplan Spieler 2'!K11='Lageplan Spieler 2'!$O$8,"✓",IF('Lageplan Spieler 2'!K11='Lageplan Spieler 2'!$O$9,"✓",IF('Lageplan Spieler 2'!K11='Lageplan Spieler 2'!$O$10,"✓",IF('Lageplan Spieler 2'!K11='Lageplan Spieler 2'!$O$11,"✓",IF('Lageplan Spieler 2'!K11='Lageplan Spieler 2'!$O$12,"✓","X"))))))</f>
        <v/>
      </c>
      <c r="X12" s="22" t="str">
        <f>IF('Spielplan Spieler 1'!L12="","",IF('Lageplan Spieler 2'!L11='Lageplan Spieler 2'!$O$8,"✓",IF('Lageplan Spieler 2'!L11='Lageplan Spieler 2'!$O$9,"✓",IF('Lageplan Spieler 2'!L11='Lageplan Spieler 2'!$O$10,"✓",IF('Lageplan Spieler 2'!L11='Lageplan Spieler 2'!$O$11,"✓",IF('Lageplan Spieler 2'!L11='Lageplan Spieler 2'!$O$12,"✓","X"))))))</f>
        <v/>
      </c>
      <c r="Y12" s="11"/>
      <c r="Z12" s="11"/>
      <c r="AA12" s="11"/>
      <c r="AB12" s="11"/>
      <c r="AC12" s="11"/>
    </row>
    <row r="13" spans="1:29" ht="24.95" customHeight="1" x14ac:dyDescent="0.25">
      <c r="A13" s="11"/>
      <c r="B13" s="11"/>
      <c r="C13" s="31"/>
      <c r="D13" s="32"/>
      <c r="E13" s="31"/>
      <c r="F13" s="32"/>
      <c r="G13" s="31"/>
      <c r="H13" s="32"/>
      <c r="I13" s="31"/>
      <c r="J13" s="32"/>
      <c r="K13" s="31"/>
      <c r="L13" s="32"/>
      <c r="M13" s="11"/>
      <c r="N13" s="11"/>
      <c r="O13" s="22" t="str">
        <f>IF('Spielplan Spieler 1'!C13="","",IF('Lageplan Spieler 2'!C12='Lageplan Spieler 2'!$O$8,"✓",IF('Lageplan Spieler 2'!C12='Lageplan Spieler 2'!$O$9,"✓",IF('Lageplan Spieler 2'!C12='Lageplan Spieler 2'!$O$10,"✓",IF('Lageplan Spieler 2'!C12='Lageplan Spieler 2'!$O$11,"✓",IF('Lageplan Spieler 2'!C12='Lageplan Spieler 2'!$O$12,"✓","X"))))))</f>
        <v/>
      </c>
      <c r="P13" s="23" t="str">
        <f>IF('Spielplan Spieler 1'!D13="","",IF('Lageplan Spieler 2'!D12='Lageplan Spieler 2'!$O$8,"✓",IF('Lageplan Spieler 2'!D12='Lageplan Spieler 2'!$O$9,"✓",IF('Lageplan Spieler 2'!D12='Lageplan Spieler 2'!$O$10,"✓",IF('Lageplan Spieler 2'!D12='Lageplan Spieler 2'!$O$11,"✓",IF('Lageplan Spieler 2'!D12='Lageplan Spieler 2'!$O$12,"✓","X"))))))</f>
        <v/>
      </c>
      <c r="Q13" s="22" t="str">
        <f>IF('Spielplan Spieler 1'!E13="","",IF('Lageplan Spieler 2'!E12='Lageplan Spieler 2'!$O$8,"✓",IF('Lageplan Spieler 2'!E12='Lageplan Spieler 2'!$O$9,"✓",IF('Lageplan Spieler 2'!E12='Lageplan Spieler 2'!$O$10,"✓",IF('Lageplan Spieler 2'!E12='Lageplan Spieler 2'!$O$11,"✓",IF('Lageplan Spieler 2'!E12='Lageplan Spieler 2'!$O$12,"✓","X"))))))</f>
        <v/>
      </c>
      <c r="R13" s="23" t="str">
        <f>IF('Spielplan Spieler 1'!F13="","",IF('Lageplan Spieler 2'!F12='Lageplan Spieler 2'!$O$8,"✓",IF('Lageplan Spieler 2'!F12='Lageplan Spieler 2'!$O$9,"✓",IF('Lageplan Spieler 2'!F12='Lageplan Spieler 2'!$O$10,"✓",IF('Lageplan Spieler 2'!F12='Lageplan Spieler 2'!$O$11,"✓",IF('Lageplan Spieler 2'!F12='Lageplan Spieler 2'!$O$12,"✓","X"))))))</f>
        <v/>
      </c>
      <c r="S13" s="22" t="str">
        <f>IF('Spielplan Spieler 1'!G13="","",IF('Lageplan Spieler 2'!G12='Lageplan Spieler 2'!$O$8,"✓",IF('Lageplan Spieler 2'!G12='Lageplan Spieler 2'!$O$9,"✓",IF('Lageplan Spieler 2'!G12='Lageplan Spieler 2'!$O$10,"✓",IF('Lageplan Spieler 2'!G12='Lageplan Spieler 2'!$O$11,"✓",IF('Lageplan Spieler 2'!G12='Lageplan Spieler 2'!$O$12,"✓","X"))))))</f>
        <v/>
      </c>
      <c r="T13" s="23" t="str">
        <f>IF('Spielplan Spieler 1'!H13="","",IF('Lageplan Spieler 2'!H12='Lageplan Spieler 2'!$O$8,"✓",IF('Lageplan Spieler 2'!H12='Lageplan Spieler 2'!$O$9,"✓",IF('Lageplan Spieler 2'!H12='Lageplan Spieler 2'!$O$10,"✓",IF('Lageplan Spieler 2'!H12='Lageplan Spieler 2'!$O$11,"✓",IF('Lageplan Spieler 2'!H12='Lageplan Spieler 2'!$O$12,"✓","X"))))))</f>
        <v/>
      </c>
      <c r="U13" s="22" t="str">
        <f>IF('Spielplan Spieler 1'!I13="","",IF('Lageplan Spieler 2'!I12='Lageplan Spieler 2'!$O$8,"✓",IF('Lageplan Spieler 2'!I12='Lageplan Spieler 2'!$O$9,"✓",IF('Lageplan Spieler 2'!I12='Lageplan Spieler 2'!$O$10,"✓",IF('Lageplan Spieler 2'!I12='Lageplan Spieler 2'!$O$11,"✓",IF('Lageplan Spieler 2'!I12='Lageplan Spieler 2'!$O$12,"✓","X"))))))</f>
        <v/>
      </c>
      <c r="V13" s="23" t="str">
        <f>IF('Spielplan Spieler 1'!J13="","",IF('Lageplan Spieler 2'!J12='Lageplan Spieler 2'!$O$8,"✓",IF('Lageplan Spieler 2'!J12='Lageplan Spieler 2'!$O$9,"✓",IF('Lageplan Spieler 2'!J12='Lageplan Spieler 2'!$O$10,"✓",IF('Lageplan Spieler 2'!J12='Lageplan Spieler 2'!$O$11,"✓",IF('Lageplan Spieler 2'!J12='Lageplan Spieler 2'!$O$12,"✓","X"))))))</f>
        <v/>
      </c>
      <c r="W13" s="22" t="str">
        <f>IF('Spielplan Spieler 1'!K13="","",IF('Lageplan Spieler 2'!K12='Lageplan Spieler 2'!$O$8,"✓",IF('Lageplan Spieler 2'!K12='Lageplan Spieler 2'!$O$9,"✓",IF('Lageplan Spieler 2'!K12='Lageplan Spieler 2'!$O$10,"✓",IF('Lageplan Spieler 2'!K12='Lageplan Spieler 2'!$O$11,"✓",IF('Lageplan Spieler 2'!K12='Lageplan Spieler 2'!$O$12,"✓","X"))))))</f>
        <v/>
      </c>
      <c r="X13" s="23" t="str">
        <f>IF('Spielplan Spieler 1'!L13="","",IF('Lageplan Spieler 2'!L12='Lageplan Spieler 2'!$O$8,"✓",IF('Lageplan Spieler 2'!L12='Lageplan Spieler 2'!$O$9,"✓",IF('Lageplan Spieler 2'!L12='Lageplan Spieler 2'!$O$10,"✓",IF('Lageplan Spieler 2'!L12='Lageplan Spieler 2'!$O$11,"✓",IF('Lageplan Spieler 2'!L12='Lageplan Spieler 2'!$O$12,"✓","X"))))))</f>
        <v/>
      </c>
      <c r="Y13" s="11"/>
      <c r="Z13" s="11"/>
      <c r="AA13" s="11"/>
      <c r="AB13" s="11"/>
      <c r="AC13" s="11"/>
    </row>
    <row r="14" spans="1:29" ht="24.95" customHeight="1" x14ac:dyDescent="0.25">
      <c r="A14" s="11"/>
      <c r="B14" s="11"/>
      <c r="C14" s="32"/>
      <c r="D14" s="31"/>
      <c r="E14" s="32"/>
      <c r="F14" s="31"/>
      <c r="G14" s="32"/>
      <c r="H14" s="31"/>
      <c r="I14" s="32"/>
      <c r="J14" s="31"/>
      <c r="K14" s="32"/>
      <c r="L14" s="31"/>
      <c r="M14" s="11"/>
      <c r="N14" s="11"/>
      <c r="O14" s="23" t="str">
        <f>IF('Spielplan Spieler 1'!C14="","",IF('Lageplan Spieler 2'!C13='Lageplan Spieler 2'!$O$8,"✓",IF('Lageplan Spieler 2'!C13='Lageplan Spieler 2'!$O$9,"✓",IF('Lageplan Spieler 2'!C13='Lageplan Spieler 2'!$O$10,"✓",IF('Lageplan Spieler 2'!C13='Lageplan Spieler 2'!$O$11,"✓",IF('Lageplan Spieler 2'!C13='Lageplan Spieler 2'!$O$12,"✓","X"))))))</f>
        <v/>
      </c>
      <c r="P14" s="22" t="str">
        <f>IF('Spielplan Spieler 1'!D14="","",IF('Lageplan Spieler 2'!D13='Lageplan Spieler 2'!$O$8,"✓",IF('Lageplan Spieler 2'!D13='Lageplan Spieler 2'!$O$9,"✓",IF('Lageplan Spieler 2'!D13='Lageplan Spieler 2'!$O$10,"✓",IF('Lageplan Spieler 2'!D13='Lageplan Spieler 2'!$O$11,"✓",IF('Lageplan Spieler 2'!D13='Lageplan Spieler 2'!$O$12,"✓","X"))))))</f>
        <v/>
      </c>
      <c r="Q14" s="23" t="str">
        <f>IF('Spielplan Spieler 1'!E14="","",IF('Lageplan Spieler 2'!E13='Lageplan Spieler 2'!$O$8,"✓",IF('Lageplan Spieler 2'!E13='Lageplan Spieler 2'!$O$9,"✓",IF('Lageplan Spieler 2'!E13='Lageplan Spieler 2'!$O$10,"✓",IF('Lageplan Spieler 2'!E13='Lageplan Spieler 2'!$O$11,"✓",IF('Lageplan Spieler 2'!E13='Lageplan Spieler 2'!$O$12,"✓","X"))))))</f>
        <v/>
      </c>
      <c r="R14" s="22" t="str">
        <f>IF('Spielplan Spieler 1'!F14="","",IF('Lageplan Spieler 2'!F13='Lageplan Spieler 2'!$O$8,"✓",IF('Lageplan Spieler 2'!F13='Lageplan Spieler 2'!$O$9,"✓",IF('Lageplan Spieler 2'!F13='Lageplan Spieler 2'!$O$10,"✓",IF('Lageplan Spieler 2'!F13='Lageplan Spieler 2'!$O$11,"✓",IF('Lageplan Spieler 2'!F13='Lageplan Spieler 2'!$O$12,"✓","X"))))))</f>
        <v/>
      </c>
      <c r="S14" s="23" t="str">
        <f>IF('Spielplan Spieler 1'!G14="","",IF('Lageplan Spieler 2'!G13='Lageplan Spieler 2'!$O$8,"✓",IF('Lageplan Spieler 2'!G13='Lageplan Spieler 2'!$O$9,"✓",IF('Lageplan Spieler 2'!G13='Lageplan Spieler 2'!$O$10,"✓",IF('Lageplan Spieler 2'!G13='Lageplan Spieler 2'!$O$11,"✓",IF('Lageplan Spieler 2'!G13='Lageplan Spieler 2'!$O$12,"✓","X"))))))</f>
        <v/>
      </c>
      <c r="T14" s="22" t="str">
        <f>IF('Spielplan Spieler 1'!H14="","",IF('Lageplan Spieler 2'!H13='Lageplan Spieler 2'!$O$8,"✓",IF('Lageplan Spieler 2'!H13='Lageplan Spieler 2'!$O$9,"✓",IF('Lageplan Spieler 2'!H13='Lageplan Spieler 2'!$O$10,"✓",IF('Lageplan Spieler 2'!H13='Lageplan Spieler 2'!$O$11,"✓",IF('Lageplan Spieler 2'!H13='Lageplan Spieler 2'!$O$12,"✓","X"))))))</f>
        <v/>
      </c>
      <c r="U14" s="23" t="str">
        <f>IF('Spielplan Spieler 1'!I14="","",IF('Lageplan Spieler 2'!I13='Lageplan Spieler 2'!$O$8,"✓",IF('Lageplan Spieler 2'!I13='Lageplan Spieler 2'!$O$9,"✓",IF('Lageplan Spieler 2'!I13='Lageplan Spieler 2'!$O$10,"✓",IF('Lageplan Spieler 2'!I13='Lageplan Spieler 2'!$O$11,"✓",IF('Lageplan Spieler 2'!I13='Lageplan Spieler 2'!$O$12,"✓","X"))))))</f>
        <v/>
      </c>
      <c r="V14" s="22" t="str">
        <f>IF('Spielplan Spieler 1'!J14="","",IF('Lageplan Spieler 2'!J13='Lageplan Spieler 2'!$O$8,"✓",IF('Lageplan Spieler 2'!J13='Lageplan Spieler 2'!$O$9,"✓",IF('Lageplan Spieler 2'!J13='Lageplan Spieler 2'!$O$10,"✓",IF('Lageplan Spieler 2'!J13='Lageplan Spieler 2'!$O$11,"✓",IF('Lageplan Spieler 2'!J13='Lageplan Spieler 2'!$O$12,"✓","X"))))))</f>
        <v/>
      </c>
      <c r="W14" s="23" t="str">
        <f>IF('Spielplan Spieler 1'!K14="","",IF('Lageplan Spieler 2'!K13='Lageplan Spieler 2'!$O$8,"✓",IF('Lageplan Spieler 2'!K13='Lageplan Spieler 2'!$O$9,"✓",IF('Lageplan Spieler 2'!K13='Lageplan Spieler 2'!$O$10,"✓",IF('Lageplan Spieler 2'!K13='Lageplan Spieler 2'!$O$11,"✓",IF('Lageplan Spieler 2'!K13='Lageplan Spieler 2'!$O$12,"✓","X"))))))</f>
        <v/>
      </c>
      <c r="X14" s="22" t="str">
        <f>IF('Spielplan Spieler 1'!L14="","",IF('Lageplan Spieler 2'!L13='Lageplan Spieler 2'!$O$8,"✓",IF('Lageplan Spieler 2'!L13='Lageplan Spieler 2'!$O$9,"✓",IF('Lageplan Spieler 2'!L13='Lageplan Spieler 2'!$O$10,"✓",IF('Lageplan Spieler 2'!L13='Lageplan Spieler 2'!$O$11,"✓",IF('Lageplan Spieler 2'!L13='Lageplan Spieler 2'!$O$12,"✓","X"))))))</f>
        <v/>
      </c>
      <c r="Y14" s="11"/>
      <c r="Z14" s="11"/>
      <c r="AA14" s="11"/>
      <c r="AB14" s="11"/>
      <c r="AC14" s="11"/>
    </row>
    <row r="15" spans="1:29" ht="24.95" customHeight="1" x14ac:dyDescent="0.25">
      <c r="A15" s="11"/>
      <c r="B15" s="11"/>
      <c r="C15" s="31"/>
      <c r="D15" s="32"/>
      <c r="E15" s="31"/>
      <c r="F15" s="32"/>
      <c r="G15" s="31"/>
      <c r="H15" s="32"/>
      <c r="I15" s="31"/>
      <c r="J15" s="32"/>
      <c r="K15" s="31"/>
      <c r="L15" s="32"/>
      <c r="M15" s="11"/>
      <c r="N15" s="11"/>
      <c r="O15" s="22" t="str">
        <f>IF('Spielplan Spieler 1'!C15="","",IF('Lageplan Spieler 2'!C14='Lageplan Spieler 2'!$O$8,"✓",IF('Lageplan Spieler 2'!C14='Lageplan Spieler 2'!$O$9,"✓",IF('Lageplan Spieler 2'!C14='Lageplan Spieler 2'!$O$10,"✓",IF('Lageplan Spieler 2'!C14='Lageplan Spieler 2'!$O$11,"✓",IF('Lageplan Spieler 2'!C14='Lageplan Spieler 2'!$O$12,"✓","X"))))))</f>
        <v/>
      </c>
      <c r="P15" s="23" t="str">
        <f>IF('Spielplan Spieler 1'!D15="","",IF('Lageplan Spieler 2'!D14='Lageplan Spieler 2'!$O$8,"✓",IF('Lageplan Spieler 2'!D14='Lageplan Spieler 2'!$O$9,"✓",IF('Lageplan Spieler 2'!D14='Lageplan Spieler 2'!$O$10,"✓",IF('Lageplan Spieler 2'!D14='Lageplan Spieler 2'!$O$11,"✓",IF('Lageplan Spieler 2'!D14='Lageplan Spieler 2'!$O$12,"✓","X"))))))</f>
        <v/>
      </c>
      <c r="Q15" s="22" t="str">
        <f>IF('Spielplan Spieler 1'!E15="","",IF('Lageplan Spieler 2'!E14='Lageplan Spieler 2'!$O$8,"✓",IF('Lageplan Spieler 2'!E14='Lageplan Spieler 2'!$O$9,"✓",IF('Lageplan Spieler 2'!E14='Lageplan Spieler 2'!$O$10,"✓",IF('Lageplan Spieler 2'!E14='Lageplan Spieler 2'!$O$11,"✓",IF('Lageplan Spieler 2'!E14='Lageplan Spieler 2'!$O$12,"✓","X"))))))</f>
        <v/>
      </c>
      <c r="R15" s="23" t="str">
        <f>IF('Spielplan Spieler 1'!F15="","",IF('Lageplan Spieler 2'!F14='Lageplan Spieler 2'!$O$8,"✓",IF('Lageplan Spieler 2'!F14='Lageplan Spieler 2'!$O$9,"✓",IF('Lageplan Spieler 2'!F14='Lageplan Spieler 2'!$O$10,"✓",IF('Lageplan Spieler 2'!F14='Lageplan Spieler 2'!$O$11,"✓",IF('Lageplan Spieler 2'!F14='Lageplan Spieler 2'!$O$12,"✓","X"))))))</f>
        <v/>
      </c>
      <c r="S15" s="22" t="str">
        <f>IF('Spielplan Spieler 1'!G15="","",IF('Lageplan Spieler 2'!G14='Lageplan Spieler 2'!$O$8,"✓",IF('Lageplan Spieler 2'!G14='Lageplan Spieler 2'!$O$9,"✓",IF('Lageplan Spieler 2'!G14='Lageplan Spieler 2'!$O$10,"✓",IF('Lageplan Spieler 2'!G14='Lageplan Spieler 2'!$O$11,"✓",IF('Lageplan Spieler 2'!G14='Lageplan Spieler 2'!$O$12,"✓","X"))))))</f>
        <v/>
      </c>
      <c r="T15" s="23" t="str">
        <f>IF('Spielplan Spieler 1'!H15="","",IF('Lageplan Spieler 2'!H14='Lageplan Spieler 2'!$O$8,"✓",IF('Lageplan Spieler 2'!H14='Lageplan Spieler 2'!$O$9,"✓",IF('Lageplan Spieler 2'!H14='Lageplan Spieler 2'!$O$10,"✓",IF('Lageplan Spieler 2'!H14='Lageplan Spieler 2'!$O$11,"✓",IF('Lageplan Spieler 2'!H14='Lageplan Spieler 2'!$O$12,"✓","X"))))))</f>
        <v/>
      </c>
      <c r="U15" s="22" t="str">
        <f>IF('Spielplan Spieler 1'!I15="","",IF('Lageplan Spieler 2'!I14='Lageplan Spieler 2'!$O$8,"✓",IF('Lageplan Spieler 2'!I14='Lageplan Spieler 2'!$O$9,"✓",IF('Lageplan Spieler 2'!I14='Lageplan Spieler 2'!$O$10,"✓",IF('Lageplan Spieler 2'!I14='Lageplan Spieler 2'!$O$11,"✓",IF('Lageplan Spieler 2'!I14='Lageplan Spieler 2'!$O$12,"✓","X"))))))</f>
        <v/>
      </c>
      <c r="V15" s="23" t="str">
        <f>IF('Spielplan Spieler 1'!J15="","",IF('Lageplan Spieler 2'!J14='Lageplan Spieler 2'!$O$8,"✓",IF('Lageplan Spieler 2'!J14='Lageplan Spieler 2'!$O$9,"✓",IF('Lageplan Spieler 2'!J14='Lageplan Spieler 2'!$O$10,"✓",IF('Lageplan Spieler 2'!J14='Lageplan Spieler 2'!$O$11,"✓",IF('Lageplan Spieler 2'!J14='Lageplan Spieler 2'!$O$12,"✓","X"))))))</f>
        <v/>
      </c>
      <c r="W15" s="22" t="str">
        <f>IF('Spielplan Spieler 1'!K15="","",IF('Lageplan Spieler 2'!K14='Lageplan Spieler 2'!$O$8,"✓",IF('Lageplan Spieler 2'!K14='Lageplan Spieler 2'!$O$9,"✓",IF('Lageplan Spieler 2'!K14='Lageplan Spieler 2'!$O$10,"✓",IF('Lageplan Spieler 2'!K14='Lageplan Spieler 2'!$O$11,"✓",IF('Lageplan Spieler 2'!K14='Lageplan Spieler 2'!$O$12,"✓","X"))))))</f>
        <v/>
      </c>
      <c r="X15" s="23" t="str">
        <f>IF('Spielplan Spieler 1'!L15="","",IF('Lageplan Spieler 2'!L14='Lageplan Spieler 2'!$O$8,"✓",IF('Lageplan Spieler 2'!L14='Lageplan Spieler 2'!$O$9,"✓",IF('Lageplan Spieler 2'!L14='Lageplan Spieler 2'!$O$10,"✓",IF('Lageplan Spieler 2'!L14='Lageplan Spieler 2'!$O$11,"✓",IF('Lageplan Spieler 2'!L14='Lageplan Spieler 2'!$O$12,"✓","X"))))))</f>
        <v/>
      </c>
      <c r="Y15" s="11"/>
      <c r="Z15" s="11"/>
      <c r="AA15" s="11"/>
      <c r="AB15" s="11"/>
      <c r="AC15" s="11"/>
    </row>
    <row r="16" spans="1:29" ht="24.95" customHeight="1" x14ac:dyDescent="0.25">
      <c r="A16" s="11"/>
      <c r="B16" s="11"/>
      <c r="C16" s="32"/>
      <c r="D16" s="31"/>
      <c r="E16" s="32"/>
      <c r="F16" s="31"/>
      <c r="G16" s="32"/>
      <c r="H16" s="31"/>
      <c r="I16" s="32"/>
      <c r="J16" s="31"/>
      <c r="K16" s="32"/>
      <c r="L16" s="31"/>
      <c r="M16" s="11"/>
      <c r="N16" s="11"/>
      <c r="O16" s="23" t="str">
        <f>IF('Spielplan Spieler 1'!C16="","",IF('Lageplan Spieler 2'!C15='Lageplan Spieler 2'!$O$8,"✓",IF('Lageplan Spieler 2'!C15='Lageplan Spieler 2'!$O$9,"✓",IF('Lageplan Spieler 2'!C15='Lageplan Spieler 2'!$O$10,"✓",IF('Lageplan Spieler 2'!C15='Lageplan Spieler 2'!$O$11,"✓",IF('Lageplan Spieler 2'!C15='Lageplan Spieler 2'!$O$12,"✓","X"))))))</f>
        <v/>
      </c>
      <c r="P16" s="22" t="str">
        <f>IF('Spielplan Spieler 1'!D16="","",IF('Lageplan Spieler 2'!D15='Lageplan Spieler 2'!$O$8,"✓",IF('Lageplan Spieler 2'!D15='Lageplan Spieler 2'!$O$9,"✓",IF('Lageplan Spieler 2'!D15='Lageplan Spieler 2'!$O$10,"✓",IF('Lageplan Spieler 2'!D15='Lageplan Spieler 2'!$O$11,"✓",IF('Lageplan Spieler 2'!D15='Lageplan Spieler 2'!$O$12,"✓","X"))))))</f>
        <v/>
      </c>
      <c r="Q16" s="23" t="str">
        <f>IF('Spielplan Spieler 1'!E16="","",IF('Lageplan Spieler 2'!E15='Lageplan Spieler 2'!$O$8,"✓",IF('Lageplan Spieler 2'!E15='Lageplan Spieler 2'!$O$9,"✓",IF('Lageplan Spieler 2'!E15='Lageplan Spieler 2'!$O$10,"✓",IF('Lageplan Spieler 2'!E15='Lageplan Spieler 2'!$O$11,"✓",IF('Lageplan Spieler 2'!E15='Lageplan Spieler 2'!$O$12,"✓","X"))))))</f>
        <v/>
      </c>
      <c r="R16" s="22" t="str">
        <f>IF('Spielplan Spieler 1'!F16="","",IF('Lageplan Spieler 2'!F15='Lageplan Spieler 2'!$O$8,"✓",IF('Lageplan Spieler 2'!F15='Lageplan Spieler 2'!$O$9,"✓",IF('Lageplan Spieler 2'!F15='Lageplan Spieler 2'!$O$10,"✓",IF('Lageplan Spieler 2'!F15='Lageplan Spieler 2'!$O$11,"✓",IF('Lageplan Spieler 2'!F15='Lageplan Spieler 2'!$O$12,"✓","X"))))))</f>
        <v/>
      </c>
      <c r="S16" s="23" t="str">
        <f>IF('Spielplan Spieler 1'!G16="","",IF('Lageplan Spieler 2'!G15='Lageplan Spieler 2'!$O$8,"✓",IF('Lageplan Spieler 2'!G15='Lageplan Spieler 2'!$O$9,"✓",IF('Lageplan Spieler 2'!G15='Lageplan Spieler 2'!$O$10,"✓",IF('Lageplan Spieler 2'!G15='Lageplan Spieler 2'!$O$11,"✓",IF('Lageplan Spieler 2'!G15='Lageplan Spieler 2'!$O$12,"✓","X"))))))</f>
        <v/>
      </c>
      <c r="T16" s="22" t="str">
        <f>IF('Spielplan Spieler 1'!H16="","",IF('Lageplan Spieler 2'!H15='Lageplan Spieler 2'!$O$8,"✓",IF('Lageplan Spieler 2'!H15='Lageplan Spieler 2'!$O$9,"✓",IF('Lageplan Spieler 2'!H15='Lageplan Spieler 2'!$O$10,"✓",IF('Lageplan Spieler 2'!H15='Lageplan Spieler 2'!$O$11,"✓",IF('Lageplan Spieler 2'!H15='Lageplan Spieler 2'!$O$12,"✓","X"))))))</f>
        <v/>
      </c>
      <c r="U16" s="23" t="str">
        <f>IF('Spielplan Spieler 1'!I16="","",IF('Lageplan Spieler 2'!I15='Lageplan Spieler 2'!$O$8,"✓",IF('Lageplan Spieler 2'!I15='Lageplan Spieler 2'!$O$9,"✓",IF('Lageplan Spieler 2'!I15='Lageplan Spieler 2'!$O$10,"✓",IF('Lageplan Spieler 2'!I15='Lageplan Spieler 2'!$O$11,"✓",IF('Lageplan Spieler 2'!I15='Lageplan Spieler 2'!$O$12,"✓","X"))))))</f>
        <v/>
      </c>
      <c r="V16" s="22" t="str">
        <f>IF('Spielplan Spieler 1'!J16="","",IF('Lageplan Spieler 2'!J15='Lageplan Spieler 2'!$O$8,"✓",IF('Lageplan Spieler 2'!J15='Lageplan Spieler 2'!$O$9,"✓",IF('Lageplan Spieler 2'!J15='Lageplan Spieler 2'!$O$10,"✓",IF('Lageplan Spieler 2'!J15='Lageplan Spieler 2'!$O$11,"✓",IF('Lageplan Spieler 2'!J15='Lageplan Spieler 2'!$O$12,"✓","X"))))))</f>
        <v/>
      </c>
      <c r="W16" s="23" t="str">
        <f>IF('Spielplan Spieler 1'!K16="","",IF('Lageplan Spieler 2'!K15='Lageplan Spieler 2'!$O$8,"✓",IF('Lageplan Spieler 2'!K15='Lageplan Spieler 2'!$O$9,"✓",IF('Lageplan Spieler 2'!K15='Lageplan Spieler 2'!$O$10,"✓",IF('Lageplan Spieler 2'!K15='Lageplan Spieler 2'!$O$11,"✓",IF('Lageplan Spieler 2'!K15='Lageplan Spieler 2'!$O$12,"✓","X"))))))</f>
        <v/>
      </c>
      <c r="X16" s="22" t="str">
        <f>IF('Spielplan Spieler 1'!L16="","",IF('Lageplan Spieler 2'!L15='Lageplan Spieler 2'!$O$8,"✓",IF('Lageplan Spieler 2'!L15='Lageplan Spieler 2'!$O$9,"✓",IF('Lageplan Spieler 2'!L15='Lageplan Spieler 2'!$O$10,"✓",IF('Lageplan Spieler 2'!L15='Lageplan Spieler 2'!$O$11,"✓",IF('Lageplan Spieler 2'!L15='Lageplan Spieler 2'!$O$12,"✓","X"))))))</f>
        <v/>
      </c>
      <c r="Y16" s="11"/>
      <c r="Z16" s="11"/>
      <c r="AA16" s="11"/>
      <c r="AB16" s="11"/>
      <c r="AC16" s="11"/>
    </row>
    <row r="17" spans="1:29" ht="24.95" customHeight="1" x14ac:dyDescent="0.25">
      <c r="A17" s="11"/>
      <c r="B17" s="11"/>
      <c r="C17" s="31"/>
      <c r="D17" s="32"/>
      <c r="E17" s="31"/>
      <c r="F17" s="32"/>
      <c r="G17" s="31"/>
      <c r="H17" s="32"/>
      <c r="I17" s="31"/>
      <c r="J17" s="32"/>
      <c r="K17" s="31"/>
      <c r="L17" s="32"/>
      <c r="M17" s="11"/>
      <c r="N17" s="11"/>
      <c r="O17" s="22" t="str">
        <f>IF('Spielplan Spieler 1'!C17="","",IF('Lageplan Spieler 2'!C16='Lageplan Spieler 2'!$O$8,"✓",IF('Lageplan Spieler 2'!C16='Lageplan Spieler 2'!$O$9,"✓",IF('Lageplan Spieler 2'!C16='Lageplan Spieler 2'!$O$10,"✓",IF('Lageplan Spieler 2'!C16='Lageplan Spieler 2'!$O$11,"✓",IF('Lageplan Spieler 2'!C16='Lageplan Spieler 2'!$O$12,"✓","X"))))))</f>
        <v/>
      </c>
      <c r="P17" s="23" t="str">
        <f>IF('Spielplan Spieler 1'!D17="","",IF('Lageplan Spieler 2'!D16='Lageplan Spieler 2'!$O$8,"✓",IF('Lageplan Spieler 2'!D16='Lageplan Spieler 2'!$O$9,"✓",IF('Lageplan Spieler 2'!D16='Lageplan Spieler 2'!$O$10,"✓",IF('Lageplan Spieler 2'!D16='Lageplan Spieler 2'!$O$11,"✓",IF('Lageplan Spieler 2'!D16='Lageplan Spieler 2'!$O$12,"✓","X"))))))</f>
        <v/>
      </c>
      <c r="Q17" s="22" t="str">
        <f>IF('Spielplan Spieler 1'!E17="","",IF('Lageplan Spieler 2'!E16='Lageplan Spieler 2'!$O$8,"✓",IF('Lageplan Spieler 2'!E16='Lageplan Spieler 2'!$O$9,"✓",IF('Lageplan Spieler 2'!E16='Lageplan Spieler 2'!$O$10,"✓",IF('Lageplan Spieler 2'!E16='Lageplan Spieler 2'!$O$11,"✓",IF('Lageplan Spieler 2'!E16='Lageplan Spieler 2'!$O$12,"✓","X"))))))</f>
        <v/>
      </c>
      <c r="R17" s="23" t="str">
        <f>IF('Spielplan Spieler 1'!F17="","",IF('Lageplan Spieler 2'!F16='Lageplan Spieler 2'!$O$8,"✓",IF('Lageplan Spieler 2'!F16='Lageplan Spieler 2'!$O$9,"✓",IF('Lageplan Spieler 2'!F16='Lageplan Spieler 2'!$O$10,"✓",IF('Lageplan Spieler 2'!F16='Lageplan Spieler 2'!$O$11,"✓",IF('Lageplan Spieler 2'!F16='Lageplan Spieler 2'!$O$12,"✓","X"))))))</f>
        <v/>
      </c>
      <c r="S17" s="22" t="str">
        <f>IF('Spielplan Spieler 1'!G17="","",IF('Lageplan Spieler 2'!G16='Lageplan Spieler 2'!$O$8,"✓",IF('Lageplan Spieler 2'!G16='Lageplan Spieler 2'!$O$9,"✓",IF('Lageplan Spieler 2'!G16='Lageplan Spieler 2'!$O$10,"✓",IF('Lageplan Spieler 2'!G16='Lageplan Spieler 2'!$O$11,"✓",IF('Lageplan Spieler 2'!G16='Lageplan Spieler 2'!$O$12,"✓","X"))))))</f>
        <v/>
      </c>
      <c r="T17" s="23" t="str">
        <f>IF('Spielplan Spieler 1'!H17="","",IF('Lageplan Spieler 2'!H16='Lageplan Spieler 2'!$O$8,"✓",IF('Lageplan Spieler 2'!H16='Lageplan Spieler 2'!$O$9,"✓",IF('Lageplan Spieler 2'!H16='Lageplan Spieler 2'!$O$10,"✓",IF('Lageplan Spieler 2'!H16='Lageplan Spieler 2'!$O$11,"✓",IF('Lageplan Spieler 2'!H16='Lageplan Spieler 2'!$O$12,"✓","X"))))))</f>
        <v/>
      </c>
      <c r="U17" s="22" t="str">
        <f>IF('Spielplan Spieler 1'!I17="","",IF('Lageplan Spieler 2'!I16='Lageplan Spieler 2'!$O$8,"✓",IF('Lageplan Spieler 2'!I16='Lageplan Spieler 2'!$O$9,"✓",IF('Lageplan Spieler 2'!I16='Lageplan Spieler 2'!$O$10,"✓",IF('Lageplan Spieler 2'!I16='Lageplan Spieler 2'!$O$11,"✓",IF('Lageplan Spieler 2'!I16='Lageplan Spieler 2'!$O$12,"✓","X"))))))</f>
        <v/>
      </c>
      <c r="V17" s="23" t="str">
        <f>IF('Spielplan Spieler 1'!J17="","",IF('Lageplan Spieler 2'!J16='Lageplan Spieler 2'!$O$8,"✓",IF('Lageplan Spieler 2'!J16='Lageplan Spieler 2'!$O$9,"✓",IF('Lageplan Spieler 2'!J16='Lageplan Spieler 2'!$O$10,"✓",IF('Lageplan Spieler 2'!J16='Lageplan Spieler 2'!$O$11,"✓",IF('Lageplan Spieler 2'!J16='Lageplan Spieler 2'!$O$12,"✓","X"))))))</f>
        <v/>
      </c>
      <c r="W17" s="22" t="str">
        <f>IF('Spielplan Spieler 1'!K17="","",IF('Lageplan Spieler 2'!K16='Lageplan Spieler 2'!$O$8,"✓",IF('Lageplan Spieler 2'!K16='Lageplan Spieler 2'!$O$9,"✓",IF('Lageplan Spieler 2'!K16='Lageplan Spieler 2'!$O$10,"✓",IF('Lageplan Spieler 2'!K16='Lageplan Spieler 2'!$O$11,"✓",IF('Lageplan Spieler 2'!K16='Lageplan Spieler 2'!$O$12,"✓","X"))))))</f>
        <v/>
      </c>
      <c r="X17" s="23" t="str">
        <f>IF('Spielplan Spieler 1'!L17="","",IF('Lageplan Spieler 2'!L16='Lageplan Spieler 2'!$O$8,"✓",IF('Lageplan Spieler 2'!L16='Lageplan Spieler 2'!$O$9,"✓",IF('Lageplan Spieler 2'!L16='Lageplan Spieler 2'!$O$10,"✓",IF('Lageplan Spieler 2'!L16='Lageplan Spieler 2'!$O$11,"✓",IF('Lageplan Spieler 2'!L16='Lageplan Spieler 2'!$O$12,"✓","X"))))))</f>
        <v/>
      </c>
      <c r="Y17" s="11"/>
      <c r="Z17" s="11"/>
      <c r="AA17" s="11"/>
      <c r="AB17" s="11"/>
      <c r="AC17" s="11"/>
    </row>
    <row r="18" spans="1:29" ht="24.95" customHeight="1" x14ac:dyDescent="0.25">
      <c r="A18" s="11"/>
      <c r="B18" s="11"/>
      <c r="C18" s="32"/>
      <c r="D18" s="31"/>
      <c r="E18" s="32"/>
      <c r="F18" s="31"/>
      <c r="G18" s="32"/>
      <c r="H18" s="31"/>
      <c r="I18" s="32"/>
      <c r="J18" s="31"/>
      <c r="K18" s="32"/>
      <c r="L18" s="31"/>
      <c r="M18" s="11"/>
      <c r="N18" s="11"/>
      <c r="O18" s="23" t="str">
        <f>IF('Spielplan Spieler 1'!C18="","",IF('Lageplan Spieler 2'!C17='Lageplan Spieler 2'!$O$8,"✓",IF('Lageplan Spieler 2'!C17='Lageplan Spieler 2'!$O$9,"✓",IF('Lageplan Spieler 2'!C17='Lageplan Spieler 2'!$O$10,"✓",IF('Lageplan Spieler 2'!C17='Lageplan Spieler 2'!$O$11,"✓",IF('Lageplan Spieler 2'!C17='Lageplan Spieler 2'!$O$12,"✓","X"))))))</f>
        <v/>
      </c>
      <c r="P18" s="22" t="str">
        <f>IF('Spielplan Spieler 1'!D18="","",IF('Lageplan Spieler 2'!D17='Lageplan Spieler 2'!$O$8,"✓",IF('Lageplan Spieler 2'!D17='Lageplan Spieler 2'!$O$9,"✓",IF('Lageplan Spieler 2'!D17='Lageplan Spieler 2'!$O$10,"✓",IF('Lageplan Spieler 2'!D17='Lageplan Spieler 2'!$O$11,"✓",IF('Lageplan Spieler 2'!D17='Lageplan Spieler 2'!$O$12,"✓","X"))))))</f>
        <v/>
      </c>
      <c r="Q18" s="23" t="str">
        <f>IF('Spielplan Spieler 1'!E18="","",IF('Lageplan Spieler 2'!E17='Lageplan Spieler 2'!$O$8,"✓",IF('Lageplan Spieler 2'!E17='Lageplan Spieler 2'!$O$9,"✓",IF('Lageplan Spieler 2'!E17='Lageplan Spieler 2'!$O$10,"✓",IF('Lageplan Spieler 2'!E17='Lageplan Spieler 2'!$O$11,"✓",IF('Lageplan Spieler 2'!E17='Lageplan Spieler 2'!$O$12,"✓","X"))))))</f>
        <v/>
      </c>
      <c r="R18" s="22" t="str">
        <f>IF('Spielplan Spieler 1'!F18="","",IF('Lageplan Spieler 2'!F17='Lageplan Spieler 2'!$O$8,"✓",IF('Lageplan Spieler 2'!F17='Lageplan Spieler 2'!$O$9,"✓",IF('Lageplan Spieler 2'!F17='Lageplan Spieler 2'!$O$10,"✓",IF('Lageplan Spieler 2'!F17='Lageplan Spieler 2'!$O$11,"✓",IF('Lageplan Spieler 2'!F17='Lageplan Spieler 2'!$O$12,"✓","X"))))))</f>
        <v/>
      </c>
      <c r="S18" s="23" t="str">
        <f>IF('Spielplan Spieler 1'!G18="","",IF('Lageplan Spieler 2'!G17='Lageplan Spieler 2'!$O$8,"✓",IF('Lageplan Spieler 2'!G17='Lageplan Spieler 2'!$O$9,"✓",IF('Lageplan Spieler 2'!G17='Lageplan Spieler 2'!$O$10,"✓",IF('Lageplan Spieler 2'!G17='Lageplan Spieler 2'!$O$11,"✓",IF('Lageplan Spieler 2'!G17='Lageplan Spieler 2'!$O$12,"✓","X"))))))</f>
        <v/>
      </c>
      <c r="T18" s="22" t="str">
        <f>IF('Spielplan Spieler 1'!H18="","",IF('Lageplan Spieler 2'!H17='Lageplan Spieler 2'!$O$8,"✓",IF('Lageplan Spieler 2'!H17='Lageplan Spieler 2'!$O$9,"✓",IF('Lageplan Spieler 2'!H17='Lageplan Spieler 2'!$O$10,"✓",IF('Lageplan Spieler 2'!H17='Lageplan Spieler 2'!$O$11,"✓",IF('Lageplan Spieler 2'!H17='Lageplan Spieler 2'!$O$12,"✓","X"))))))</f>
        <v/>
      </c>
      <c r="U18" s="23" t="str">
        <f>IF('Spielplan Spieler 1'!I18="","",IF('Lageplan Spieler 2'!I17='Lageplan Spieler 2'!$O$8,"✓",IF('Lageplan Spieler 2'!I17='Lageplan Spieler 2'!$O$9,"✓",IF('Lageplan Spieler 2'!I17='Lageplan Spieler 2'!$O$10,"✓",IF('Lageplan Spieler 2'!I17='Lageplan Spieler 2'!$O$11,"✓",IF('Lageplan Spieler 2'!I17='Lageplan Spieler 2'!$O$12,"✓","X"))))))</f>
        <v/>
      </c>
      <c r="V18" s="22" t="str">
        <f>IF('Spielplan Spieler 1'!J18="","",IF('Lageplan Spieler 2'!J17='Lageplan Spieler 2'!$O$8,"✓",IF('Lageplan Spieler 2'!J17='Lageplan Spieler 2'!$O$9,"✓",IF('Lageplan Spieler 2'!J17='Lageplan Spieler 2'!$O$10,"✓",IF('Lageplan Spieler 2'!J17='Lageplan Spieler 2'!$O$11,"✓",IF('Lageplan Spieler 2'!J17='Lageplan Spieler 2'!$O$12,"✓","X"))))))</f>
        <v/>
      </c>
      <c r="W18" s="23" t="str">
        <f>IF('Spielplan Spieler 1'!K18="","",IF('Lageplan Spieler 2'!K17='Lageplan Spieler 2'!$O$8,"✓",IF('Lageplan Spieler 2'!K17='Lageplan Spieler 2'!$O$9,"✓",IF('Lageplan Spieler 2'!K17='Lageplan Spieler 2'!$O$10,"✓",IF('Lageplan Spieler 2'!K17='Lageplan Spieler 2'!$O$11,"✓",IF('Lageplan Spieler 2'!K17='Lageplan Spieler 2'!$O$12,"✓","X"))))))</f>
        <v/>
      </c>
      <c r="X18" s="22" t="str">
        <f>IF('Spielplan Spieler 1'!L18="","",IF('Lageplan Spieler 2'!L17='Lageplan Spieler 2'!$O$8,"✓",IF('Lageplan Spieler 2'!L17='Lageplan Spieler 2'!$O$9,"✓",IF('Lageplan Spieler 2'!L17='Lageplan Spieler 2'!$O$10,"✓",IF('Lageplan Spieler 2'!L17='Lageplan Spieler 2'!$O$11,"✓",IF('Lageplan Spieler 2'!L17='Lageplan Spieler 2'!$O$12,"✓","X"))))))</f>
        <v/>
      </c>
      <c r="Y18" s="11"/>
      <c r="Z18" s="11"/>
      <c r="AA18" s="11"/>
      <c r="AB18" s="11"/>
      <c r="AC18" s="11"/>
    </row>
    <row r="19" spans="1:29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x14ac:dyDescent="0.25">
      <c r="A20" s="11"/>
      <c r="B20" s="11" t="str">
        <f>IF(COUNT('Lageplan Spieler 2'!C8:L17)=SUMPRODUCT((C9:L18="x")*('Lageplan Spieler 2'!C8:L17&gt;0)),"Fertig","Offen")</f>
        <v>Fertig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</sheetData>
  <sheetProtection password="CF7A" sheet="1" objects="1" scenarios="1"/>
  <mergeCells count="10">
    <mergeCell ref="O8:X8"/>
    <mergeCell ref="C7:L7"/>
    <mergeCell ref="T5:X5"/>
    <mergeCell ref="S2:T2"/>
    <mergeCell ref="M3:Q4"/>
    <mergeCell ref="S1:X1"/>
    <mergeCell ref="C3:F4"/>
    <mergeCell ref="G3:K4"/>
    <mergeCell ref="T4:X4"/>
    <mergeCell ref="O7:X7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chaltfläche 2">
              <controlPr locked="0" defaultSize="0" print="0" autoFill="0" autoPict="0" macro="[0]!Spieler1Fertig">
                <anchor moveWithCells="1" sizeWithCells="1">
                  <from>
                    <xdr:col>11</xdr:col>
                    <xdr:colOff>257175</xdr:colOff>
                    <xdr:row>18</xdr:row>
                    <xdr:rowOff>180975</xdr:rowOff>
                  </from>
                  <to>
                    <xdr:col>14</xdr:col>
                    <xdr:colOff>190500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Schaltfläche 3">
              <controlPr locked="0" defaultSize="0" print="0" autoFill="0" autoPict="0" macro="[0]!Zurück">
                <anchor moveWithCells="1" sizeWithCells="1">
                  <from>
                    <xdr:col>24</xdr:col>
                    <xdr:colOff>733425</xdr:colOff>
                    <xdr:row>1</xdr:row>
                    <xdr:rowOff>57150</xdr:rowOff>
                  </from>
                  <to>
                    <xdr:col>27</xdr:col>
                    <xdr:colOff>19050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Schaltfläche 4">
              <controlPr locked="0" defaultSize="0" print="0" autoFill="0" autoPict="0" macro="[0]!Spieler1neuesSpiel">
                <anchor moveWithCells="1" sizeWithCells="1">
                  <from>
                    <xdr:col>24</xdr:col>
                    <xdr:colOff>752475</xdr:colOff>
                    <xdr:row>4</xdr:row>
                    <xdr:rowOff>123825</xdr:rowOff>
                  </from>
                  <to>
                    <xdr:col>26</xdr:col>
                    <xdr:colOff>752475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AC29"/>
  <sheetViews>
    <sheetView showGridLines="0" showRowColHeaders="0" tabSelected="1" zoomScale="120" zoomScaleNormal="120" workbookViewId="0">
      <selection activeCell="M3" sqref="M3:Q4"/>
    </sheetView>
  </sheetViews>
  <sheetFormatPr baseColWidth="10" defaultRowHeight="15" x14ac:dyDescent="0.25"/>
  <cols>
    <col min="3" max="24" width="5.7109375" customWidth="1"/>
  </cols>
  <sheetData>
    <row r="1" spans="1:29" ht="18.75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68" t="s">
        <v>21</v>
      </c>
      <c r="T1" s="69"/>
      <c r="U1" s="69"/>
      <c r="V1" s="69"/>
      <c r="W1" s="69"/>
      <c r="X1" s="70"/>
      <c r="Y1" s="11"/>
      <c r="Z1" s="11"/>
      <c r="AA1" s="11"/>
      <c r="AB1" s="11"/>
      <c r="AC1" s="11"/>
    </row>
    <row r="2" spans="1:29" ht="16.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87" t="str">
        <f>Einstellungen!C5</f>
        <v>Player 1</v>
      </c>
      <c r="T2" s="88"/>
      <c r="U2" s="28" t="s">
        <v>25</v>
      </c>
      <c r="V2" s="29">
        <f>'Spielplan Spieler 1'!S5</f>
        <v>0</v>
      </c>
      <c r="W2" s="28" t="s">
        <v>26</v>
      </c>
      <c r="X2" s="27"/>
      <c r="Y2" s="11"/>
      <c r="Z2" s="11"/>
      <c r="AA2" s="11"/>
      <c r="AB2" s="11"/>
      <c r="AC2" s="11"/>
    </row>
    <row r="3" spans="1:29" ht="15" customHeight="1" x14ac:dyDescent="0.25">
      <c r="A3" s="11"/>
      <c r="B3" s="11"/>
      <c r="C3" s="91" t="str">
        <f>Einstellungen!$C$12</f>
        <v>Player 2</v>
      </c>
      <c r="D3" s="92"/>
      <c r="E3" s="92"/>
      <c r="F3" s="92"/>
      <c r="G3" s="95" t="s">
        <v>22</v>
      </c>
      <c r="H3" s="96"/>
      <c r="I3" s="96"/>
      <c r="J3" s="96"/>
      <c r="K3" s="97"/>
      <c r="L3" s="11"/>
      <c r="M3" s="90" t="str">
        <f>IF(S5=0,"",IF(SUM('Lageplan Spieler 1'!R8:R12)='Spielplan Spieler 2'!S5,"Sie haben Gewonnen!",""))</f>
        <v/>
      </c>
      <c r="N3" s="90"/>
      <c r="O3" s="90"/>
      <c r="P3" s="90"/>
      <c r="Q3" s="90"/>
      <c r="R3" s="11"/>
      <c r="S3" s="18"/>
      <c r="T3" s="26"/>
      <c r="U3" s="26"/>
      <c r="V3" s="26"/>
      <c r="W3" s="26"/>
      <c r="X3" s="27"/>
      <c r="Y3" s="11"/>
      <c r="Z3" s="11"/>
      <c r="AA3" s="11"/>
      <c r="AB3" s="11"/>
      <c r="AC3" s="11"/>
    </row>
    <row r="4" spans="1:29" ht="16.5" thickBot="1" x14ac:dyDescent="0.3">
      <c r="A4" s="11"/>
      <c r="B4" s="11"/>
      <c r="C4" s="93"/>
      <c r="D4" s="94"/>
      <c r="E4" s="94"/>
      <c r="F4" s="94"/>
      <c r="G4" s="98"/>
      <c r="H4" s="98"/>
      <c r="I4" s="98"/>
      <c r="J4" s="98"/>
      <c r="K4" s="99"/>
      <c r="L4" s="11"/>
      <c r="M4" s="90"/>
      <c r="N4" s="90"/>
      <c r="O4" s="90"/>
      <c r="P4" s="90"/>
      <c r="Q4" s="90"/>
      <c r="R4" s="11"/>
      <c r="S4" s="18">
        <f>COUNTA(C9:L18)</f>
        <v>0</v>
      </c>
      <c r="T4" s="80" t="s">
        <v>23</v>
      </c>
      <c r="U4" s="80"/>
      <c r="V4" s="80"/>
      <c r="W4" s="80"/>
      <c r="X4" s="81"/>
      <c r="Y4" s="11"/>
      <c r="Z4" s="11"/>
      <c r="AA4" s="11"/>
      <c r="AB4" s="11"/>
      <c r="AC4" s="11"/>
    </row>
    <row r="5" spans="1:29" ht="16.5" thickBot="1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9">
        <f>COUNTIF(O9:X18,"✓")</f>
        <v>0</v>
      </c>
      <c r="T5" s="85" t="s">
        <v>24</v>
      </c>
      <c r="U5" s="85"/>
      <c r="V5" s="85"/>
      <c r="W5" s="85"/>
      <c r="X5" s="86"/>
      <c r="Y5" s="11"/>
      <c r="Z5" s="11"/>
      <c r="AA5" s="11"/>
      <c r="AB5" s="11"/>
      <c r="AC5" s="11"/>
    </row>
    <row r="6" spans="1:29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x14ac:dyDescent="0.25">
      <c r="A7" s="11"/>
      <c r="B7" s="11"/>
      <c r="C7" s="84" t="s">
        <v>30</v>
      </c>
      <c r="D7" s="84"/>
      <c r="E7" s="84"/>
      <c r="F7" s="84"/>
      <c r="G7" s="84"/>
      <c r="H7" s="84"/>
      <c r="I7" s="84"/>
      <c r="J7" s="84"/>
      <c r="K7" s="84"/>
      <c r="L7" s="84"/>
      <c r="M7" s="11"/>
      <c r="N7" s="11"/>
      <c r="O7" s="82" t="s">
        <v>28</v>
      </c>
      <c r="P7" s="82"/>
      <c r="Q7" s="82"/>
      <c r="R7" s="82"/>
      <c r="S7" s="82"/>
      <c r="T7" s="82"/>
      <c r="U7" s="82"/>
      <c r="V7" s="82"/>
      <c r="W7" s="82"/>
      <c r="X7" s="82"/>
      <c r="Y7" s="11"/>
      <c r="Z7" s="11"/>
      <c r="AA7" s="11"/>
      <c r="AB7" s="11"/>
      <c r="AC7" s="11"/>
    </row>
    <row r="8" spans="1:29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83" t="s">
        <v>29</v>
      </c>
      <c r="P8" s="83"/>
      <c r="Q8" s="83"/>
      <c r="R8" s="83"/>
      <c r="S8" s="83"/>
      <c r="T8" s="83"/>
      <c r="U8" s="83"/>
      <c r="V8" s="83"/>
      <c r="W8" s="83"/>
      <c r="X8" s="83"/>
      <c r="Y8" s="11"/>
      <c r="Z8" s="11"/>
      <c r="AA8" s="11"/>
      <c r="AB8" s="11"/>
      <c r="AC8" s="11"/>
    </row>
    <row r="9" spans="1:29" ht="24.95" customHeight="1" x14ac:dyDescent="0.25">
      <c r="A9" s="11"/>
      <c r="B9" s="11"/>
      <c r="C9" s="33"/>
      <c r="D9" s="34"/>
      <c r="E9" s="33"/>
      <c r="F9" s="34"/>
      <c r="G9" s="33"/>
      <c r="H9" s="34"/>
      <c r="I9" s="33"/>
      <c r="J9" s="34"/>
      <c r="K9" s="33"/>
      <c r="L9" s="34"/>
      <c r="M9" s="11"/>
      <c r="N9" s="11"/>
      <c r="O9" s="24" t="str">
        <f>IF('Spielplan Spieler 2'!C9="","",IF('Lageplan Spieler 1'!C8='Lageplan Spieler 1'!$O$8,"✓",IF('Lageplan Spieler 1'!C8='Lageplan Spieler 1'!$O$9,"✓",IF('Lageplan Spieler 1'!C8='Lageplan Spieler 1'!$O$10,"✓",IF('Lageplan Spieler 1'!C8='Lageplan Spieler 1'!$O$11,"✓",IF('Lageplan Spieler 1'!C8='Lageplan Spieler 1'!$O$12,"✓","X"))))))</f>
        <v/>
      </c>
      <c r="P9" s="25" t="str">
        <f>IF('Spielplan Spieler 2'!D9="","",IF('Lageplan Spieler 1'!D8='Lageplan Spieler 1'!$O$8,"✓",IF('Lageplan Spieler 1'!D8='Lageplan Spieler 1'!$O$9,"✓",IF('Lageplan Spieler 1'!D8='Lageplan Spieler 1'!$O$10,"✓",IF('Lageplan Spieler 1'!D8='Lageplan Spieler 1'!$O$11,"✓",IF('Lageplan Spieler 1'!D8='Lageplan Spieler 1'!$O$12,"✓","X"))))))</f>
        <v/>
      </c>
      <c r="Q9" s="24" t="str">
        <f>IF('Spielplan Spieler 2'!E9="","",IF('Lageplan Spieler 1'!E8='Lageplan Spieler 1'!$O$8,"✓",IF('Lageplan Spieler 1'!E8='Lageplan Spieler 1'!$O$9,"✓",IF('Lageplan Spieler 1'!E8='Lageplan Spieler 1'!$O$10,"✓",IF('Lageplan Spieler 1'!E8='Lageplan Spieler 1'!$O$11,"✓",IF('Lageplan Spieler 1'!E8='Lageplan Spieler 1'!$O$12,"✓","X"))))))</f>
        <v/>
      </c>
      <c r="R9" s="25" t="str">
        <f>IF('Spielplan Spieler 2'!F9="","",IF('Lageplan Spieler 1'!F8='Lageplan Spieler 1'!$O$8,"✓",IF('Lageplan Spieler 1'!F8='Lageplan Spieler 1'!$O$9,"✓",IF('Lageplan Spieler 1'!F8='Lageplan Spieler 1'!$O$10,"✓",IF('Lageplan Spieler 1'!F8='Lageplan Spieler 1'!$O$11,"✓",IF('Lageplan Spieler 1'!F8='Lageplan Spieler 1'!$O$12,"✓","X"))))))</f>
        <v/>
      </c>
      <c r="S9" s="24" t="str">
        <f>IF('Spielplan Spieler 2'!G9="","",IF('Lageplan Spieler 1'!G8='Lageplan Spieler 1'!$O$8,"✓",IF('Lageplan Spieler 1'!G8='Lageplan Spieler 1'!$O$9,"✓",IF('Lageplan Spieler 1'!G8='Lageplan Spieler 1'!$O$10,"✓",IF('Lageplan Spieler 1'!G8='Lageplan Spieler 1'!$O$11,"✓",IF('Lageplan Spieler 1'!G8='Lageplan Spieler 1'!$O$12,"✓","X"))))))</f>
        <v/>
      </c>
      <c r="T9" s="25" t="str">
        <f>IF('Spielplan Spieler 2'!H9="","",IF('Lageplan Spieler 1'!H8='Lageplan Spieler 1'!$O$8,"✓",IF('Lageplan Spieler 1'!H8='Lageplan Spieler 1'!$O$9,"✓",IF('Lageplan Spieler 1'!H8='Lageplan Spieler 1'!$O$10,"✓",IF('Lageplan Spieler 1'!H8='Lageplan Spieler 1'!$O$11,"✓",IF('Lageplan Spieler 1'!H8='Lageplan Spieler 1'!$O$12,"✓","X"))))))</f>
        <v/>
      </c>
      <c r="U9" s="24" t="str">
        <f>IF('Spielplan Spieler 2'!I9="","",IF('Lageplan Spieler 1'!I8='Lageplan Spieler 1'!$O$8,"✓",IF('Lageplan Spieler 1'!I8='Lageplan Spieler 1'!$O$9,"✓",IF('Lageplan Spieler 1'!I8='Lageplan Spieler 1'!$O$10,"✓",IF('Lageplan Spieler 1'!I8='Lageplan Spieler 1'!$O$11,"✓",IF('Lageplan Spieler 1'!I8='Lageplan Spieler 1'!$O$12,"✓","X"))))))</f>
        <v/>
      </c>
      <c r="V9" s="25" t="str">
        <f>IF('Spielplan Spieler 2'!J9="","",IF('Lageplan Spieler 1'!J8='Lageplan Spieler 1'!$O$8,"✓",IF('Lageplan Spieler 1'!J8='Lageplan Spieler 1'!$O$9,"✓",IF('Lageplan Spieler 1'!J8='Lageplan Spieler 1'!$O$10,"✓",IF('Lageplan Spieler 1'!J8='Lageplan Spieler 1'!$O$11,"✓",IF('Lageplan Spieler 1'!J8='Lageplan Spieler 1'!$O$12,"✓","X"))))))</f>
        <v/>
      </c>
      <c r="W9" s="24" t="str">
        <f>IF('Spielplan Spieler 2'!K9="","",IF('Lageplan Spieler 1'!K8='Lageplan Spieler 1'!$O$8,"✓",IF('Lageplan Spieler 1'!K8='Lageplan Spieler 1'!$O$9,"✓",IF('Lageplan Spieler 1'!K8='Lageplan Spieler 1'!$O$10,"✓",IF('Lageplan Spieler 1'!K8='Lageplan Spieler 1'!$O$11,"✓",IF('Lageplan Spieler 1'!K8='Lageplan Spieler 1'!$O$12,"✓","X"))))))</f>
        <v/>
      </c>
      <c r="X9" s="25" t="str">
        <f>IF('Spielplan Spieler 2'!L9="","",IF('Lageplan Spieler 1'!L8='Lageplan Spieler 1'!$O$8,"✓",IF('Lageplan Spieler 1'!L8='Lageplan Spieler 1'!$O$9,"✓",IF('Lageplan Spieler 1'!L8='Lageplan Spieler 1'!$O$10,"✓",IF('Lageplan Spieler 1'!L8='Lageplan Spieler 1'!$O$11,"✓",IF('Lageplan Spieler 1'!L8='Lageplan Spieler 1'!$O$12,"✓","X"))))))</f>
        <v/>
      </c>
      <c r="Y9" s="11"/>
      <c r="Z9" s="11"/>
      <c r="AA9" s="11"/>
      <c r="AB9" s="11"/>
      <c r="AC9" s="11"/>
    </row>
    <row r="10" spans="1:29" ht="24.95" customHeight="1" x14ac:dyDescent="0.25">
      <c r="A10" s="11"/>
      <c r="B10" s="11"/>
      <c r="C10" s="34"/>
      <c r="D10" s="33"/>
      <c r="E10" s="34"/>
      <c r="F10" s="33"/>
      <c r="G10" s="34"/>
      <c r="H10" s="33"/>
      <c r="I10" s="34"/>
      <c r="J10" s="33"/>
      <c r="K10" s="34"/>
      <c r="L10" s="33"/>
      <c r="M10" s="11"/>
      <c r="N10" s="11"/>
      <c r="O10" s="25" t="str">
        <f>IF('Spielplan Spieler 2'!C10="","",IF('Lageplan Spieler 1'!C9='Lageplan Spieler 1'!$O$8,"✓",IF('Lageplan Spieler 1'!C9='Lageplan Spieler 1'!$O$9,"✓",IF('Lageplan Spieler 1'!C9='Lageplan Spieler 1'!$O$10,"✓",IF('Lageplan Spieler 1'!C9='Lageplan Spieler 1'!$O$11,"✓",IF('Lageplan Spieler 1'!C9='Lageplan Spieler 1'!$O$12,"✓","X"))))))</f>
        <v/>
      </c>
      <c r="P10" s="24" t="str">
        <f>IF('Spielplan Spieler 2'!D10="","",IF('Lageplan Spieler 1'!D9='Lageplan Spieler 1'!$O$8,"✓",IF('Lageplan Spieler 1'!D9='Lageplan Spieler 1'!$O$9,"✓",IF('Lageplan Spieler 1'!D9='Lageplan Spieler 1'!$O$10,"✓",IF('Lageplan Spieler 1'!D9='Lageplan Spieler 1'!$O$11,"✓",IF('Lageplan Spieler 1'!D9='Lageplan Spieler 1'!$O$12,"✓","X"))))))</f>
        <v/>
      </c>
      <c r="Q10" s="25" t="str">
        <f>IF('Spielplan Spieler 2'!E10="","",IF('Lageplan Spieler 1'!E9='Lageplan Spieler 1'!$O$8,"✓",IF('Lageplan Spieler 1'!E9='Lageplan Spieler 1'!$O$9,"✓",IF('Lageplan Spieler 1'!E9='Lageplan Spieler 1'!$O$10,"✓",IF('Lageplan Spieler 1'!E9='Lageplan Spieler 1'!$O$11,"✓",IF('Lageplan Spieler 1'!E9='Lageplan Spieler 1'!$O$12,"✓","X"))))))</f>
        <v/>
      </c>
      <c r="R10" s="24" t="str">
        <f>IF('Spielplan Spieler 2'!F10="","",IF('Lageplan Spieler 1'!F9='Lageplan Spieler 1'!$O$8,"✓",IF('Lageplan Spieler 1'!F9='Lageplan Spieler 1'!$O$9,"✓",IF('Lageplan Spieler 1'!F9='Lageplan Spieler 1'!$O$10,"✓",IF('Lageplan Spieler 1'!F9='Lageplan Spieler 1'!$O$11,"✓",IF('Lageplan Spieler 1'!F9='Lageplan Spieler 1'!$O$12,"✓","X"))))))</f>
        <v/>
      </c>
      <c r="S10" s="25" t="str">
        <f>IF('Spielplan Spieler 2'!G10="","",IF('Lageplan Spieler 1'!G9='Lageplan Spieler 1'!$O$8,"✓",IF('Lageplan Spieler 1'!G9='Lageplan Spieler 1'!$O$9,"✓",IF('Lageplan Spieler 1'!G9='Lageplan Spieler 1'!$O$10,"✓",IF('Lageplan Spieler 1'!G9='Lageplan Spieler 1'!$O$11,"✓",IF('Lageplan Spieler 1'!G9='Lageplan Spieler 1'!$O$12,"✓","X"))))))</f>
        <v/>
      </c>
      <c r="T10" s="24" t="str">
        <f>IF('Spielplan Spieler 2'!H10="","",IF('Lageplan Spieler 1'!H9='Lageplan Spieler 1'!$O$8,"✓",IF('Lageplan Spieler 1'!H9='Lageplan Spieler 1'!$O$9,"✓",IF('Lageplan Spieler 1'!H9='Lageplan Spieler 1'!$O$10,"✓",IF('Lageplan Spieler 1'!H9='Lageplan Spieler 1'!$O$11,"✓",IF('Lageplan Spieler 1'!H9='Lageplan Spieler 1'!$O$12,"✓","X"))))))</f>
        <v/>
      </c>
      <c r="U10" s="25" t="str">
        <f>IF('Spielplan Spieler 2'!I10="","",IF('Lageplan Spieler 1'!I9='Lageplan Spieler 1'!$O$8,"✓",IF('Lageplan Spieler 1'!I9='Lageplan Spieler 1'!$O$9,"✓",IF('Lageplan Spieler 1'!I9='Lageplan Spieler 1'!$O$10,"✓",IF('Lageplan Spieler 1'!I9='Lageplan Spieler 1'!$O$11,"✓",IF('Lageplan Spieler 1'!I9='Lageplan Spieler 1'!$O$12,"✓","X"))))))</f>
        <v/>
      </c>
      <c r="V10" s="24" t="str">
        <f>IF('Spielplan Spieler 2'!J10="","",IF('Lageplan Spieler 1'!J9='Lageplan Spieler 1'!$O$8,"✓",IF('Lageplan Spieler 1'!J9='Lageplan Spieler 1'!$O$9,"✓",IF('Lageplan Spieler 1'!J9='Lageplan Spieler 1'!$O$10,"✓",IF('Lageplan Spieler 1'!J9='Lageplan Spieler 1'!$O$11,"✓",IF('Lageplan Spieler 1'!J9='Lageplan Spieler 1'!$O$12,"✓","X"))))))</f>
        <v/>
      </c>
      <c r="W10" s="25" t="str">
        <f>IF('Spielplan Spieler 2'!K10="","",IF('Lageplan Spieler 1'!K9='Lageplan Spieler 1'!$O$8,"✓",IF('Lageplan Spieler 1'!K9='Lageplan Spieler 1'!$O$9,"✓",IF('Lageplan Spieler 1'!K9='Lageplan Spieler 1'!$O$10,"✓",IF('Lageplan Spieler 1'!K9='Lageplan Spieler 1'!$O$11,"✓",IF('Lageplan Spieler 1'!K9='Lageplan Spieler 1'!$O$12,"✓","X"))))))</f>
        <v/>
      </c>
      <c r="X10" s="24" t="str">
        <f>IF('Spielplan Spieler 2'!L10="","",IF('Lageplan Spieler 1'!L9='Lageplan Spieler 1'!$O$8,"✓",IF('Lageplan Spieler 1'!L9='Lageplan Spieler 1'!$O$9,"✓",IF('Lageplan Spieler 1'!L9='Lageplan Spieler 1'!$O$10,"✓",IF('Lageplan Spieler 1'!L9='Lageplan Spieler 1'!$O$11,"✓",IF('Lageplan Spieler 1'!L9='Lageplan Spieler 1'!$O$12,"✓","X"))))))</f>
        <v/>
      </c>
      <c r="Y10" s="11"/>
      <c r="Z10" s="11"/>
      <c r="AA10" s="11"/>
      <c r="AB10" s="11"/>
      <c r="AC10" s="11"/>
    </row>
    <row r="11" spans="1:29" ht="24.95" customHeight="1" x14ac:dyDescent="0.25">
      <c r="A11" s="11"/>
      <c r="B11" s="11"/>
      <c r="C11" s="33"/>
      <c r="D11" s="34"/>
      <c r="E11" s="33"/>
      <c r="F11" s="34"/>
      <c r="G11" s="33"/>
      <c r="H11" s="34"/>
      <c r="I11" s="33"/>
      <c r="J11" s="34"/>
      <c r="K11" s="33"/>
      <c r="L11" s="34"/>
      <c r="M11" s="11"/>
      <c r="N11" s="11"/>
      <c r="O11" s="24" t="str">
        <f>IF('Spielplan Spieler 2'!C11="","",IF('Lageplan Spieler 1'!C10='Lageplan Spieler 1'!$O$8,"✓",IF('Lageplan Spieler 1'!C10='Lageplan Spieler 1'!$O$9,"✓",IF('Lageplan Spieler 1'!C10='Lageplan Spieler 1'!$O$10,"✓",IF('Lageplan Spieler 1'!C10='Lageplan Spieler 1'!$O$11,"✓",IF('Lageplan Spieler 1'!C10='Lageplan Spieler 1'!$O$12,"✓","X"))))))</f>
        <v/>
      </c>
      <c r="P11" s="25" t="str">
        <f>IF('Spielplan Spieler 2'!D11="","",IF('Lageplan Spieler 1'!D10='Lageplan Spieler 1'!$O$8,"✓",IF('Lageplan Spieler 1'!D10='Lageplan Spieler 1'!$O$9,"✓",IF('Lageplan Spieler 1'!D10='Lageplan Spieler 1'!$O$10,"✓",IF('Lageplan Spieler 1'!D10='Lageplan Spieler 1'!$O$11,"✓",IF('Lageplan Spieler 1'!D10='Lageplan Spieler 1'!$O$12,"✓","X"))))))</f>
        <v/>
      </c>
      <c r="Q11" s="24" t="str">
        <f>IF('Spielplan Spieler 2'!E11="","",IF('Lageplan Spieler 1'!E10='Lageplan Spieler 1'!$O$8,"✓",IF('Lageplan Spieler 1'!E10='Lageplan Spieler 1'!$O$9,"✓",IF('Lageplan Spieler 1'!E10='Lageplan Spieler 1'!$O$10,"✓",IF('Lageplan Spieler 1'!E10='Lageplan Spieler 1'!$O$11,"✓",IF('Lageplan Spieler 1'!E10='Lageplan Spieler 1'!$O$12,"✓","X"))))))</f>
        <v/>
      </c>
      <c r="R11" s="25" t="str">
        <f>IF('Spielplan Spieler 2'!F11="","",IF('Lageplan Spieler 1'!F10='Lageplan Spieler 1'!$O$8,"✓",IF('Lageplan Spieler 1'!F10='Lageplan Spieler 1'!$O$9,"✓",IF('Lageplan Spieler 1'!F10='Lageplan Spieler 1'!$O$10,"✓",IF('Lageplan Spieler 1'!F10='Lageplan Spieler 1'!$O$11,"✓",IF('Lageplan Spieler 1'!F10='Lageplan Spieler 1'!$O$12,"✓","X"))))))</f>
        <v/>
      </c>
      <c r="S11" s="24" t="str">
        <f>IF('Spielplan Spieler 2'!G11="","",IF('Lageplan Spieler 1'!G10='Lageplan Spieler 1'!$O$8,"✓",IF('Lageplan Spieler 1'!G10='Lageplan Spieler 1'!$O$9,"✓",IF('Lageplan Spieler 1'!G10='Lageplan Spieler 1'!$O$10,"✓",IF('Lageplan Spieler 1'!G10='Lageplan Spieler 1'!$O$11,"✓",IF('Lageplan Spieler 1'!G10='Lageplan Spieler 1'!$O$12,"✓","X"))))))</f>
        <v/>
      </c>
      <c r="T11" s="25" t="str">
        <f>IF('Spielplan Spieler 2'!H11="","",IF('Lageplan Spieler 1'!H10='Lageplan Spieler 1'!$O$8,"✓",IF('Lageplan Spieler 1'!H10='Lageplan Spieler 1'!$O$9,"✓",IF('Lageplan Spieler 1'!H10='Lageplan Spieler 1'!$O$10,"✓",IF('Lageplan Spieler 1'!H10='Lageplan Spieler 1'!$O$11,"✓",IF('Lageplan Spieler 1'!H10='Lageplan Spieler 1'!$O$12,"✓","X"))))))</f>
        <v/>
      </c>
      <c r="U11" s="24" t="str">
        <f>IF('Spielplan Spieler 2'!I11="","",IF('Lageplan Spieler 1'!I10='Lageplan Spieler 1'!$O$8,"✓",IF('Lageplan Spieler 1'!I10='Lageplan Spieler 1'!$O$9,"✓",IF('Lageplan Spieler 1'!I10='Lageplan Spieler 1'!$O$10,"✓",IF('Lageplan Spieler 1'!I10='Lageplan Spieler 1'!$O$11,"✓",IF('Lageplan Spieler 1'!I10='Lageplan Spieler 1'!$O$12,"✓","X"))))))</f>
        <v/>
      </c>
      <c r="V11" s="25" t="str">
        <f>IF('Spielplan Spieler 2'!J11="","",IF('Lageplan Spieler 1'!J10='Lageplan Spieler 1'!$O$8,"✓",IF('Lageplan Spieler 1'!J10='Lageplan Spieler 1'!$O$9,"✓",IF('Lageplan Spieler 1'!J10='Lageplan Spieler 1'!$O$10,"✓",IF('Lageplan Spieler 1'!J10='Lageplan Spieler 1'!$O$11,"✓",IF('Lageplan Spieler 1'!J10='Lageplan Spieler 1'!$O$12,"✓","X"))))))</f>
        <v/>
      </c>
      <c r="W11" s="24" t="str">
        <f>IF('Spielplan Spieler 2'!K11="","",IF('Lageplan Spieler 1'!K10='Lageplan Spieler 1'!$O$8,"✓",IF('Lageplan Spieler 1'!K10='Lageplan Spieler 1'!$O$9,"✓",IF('Lageplan Spieler 1'!K10='Lageplan Spieler 1'!$O$10,"✓",IF('Lageplan Spieler 1'!K10='Lageplan Spieler 1'!$O$11,"✓",IF('Lageplan Spieler 1'!K10='Lageplan Spieler 1'!$O$12,"✓","X"))))))</f>
        <v/>
      </c>
      <c r="X11" s="25" t="str">
        <f>IF('Spielplan Spieler 2'!L11="","",IF('Lageplan Spieler 1'!L10='Lageplan Spieler 1'!$O$8,"✓",IF('Lageplan Spieler 1'!L10='Lageplan Spieler 1'!$O$9,"✓",IF('Lageplan Spieler 1'!L10='Lageplan Spieler 1'!$O$10,"✓",IF('Lageplan Spieler 1'!L10='Lageplan Spieler 1'!$O$11,"✓",IF('Lageplan Spieler 1'!L10='Lageplan Spieler 1'!$O$12,"✓","X"))))))</f>
        <v/>
      </c>
      <c r="Y11" s="11"/>
      <c r="Z11" s="11"/>
      <c r="AA11" s="11"/>
      <c r="AB11" s="11"/>
      <c r="AC11" s="11"/>
    </row>
    <row r="12" spans="1:29" ht="24.95" customHeight="1" x14ac:dyDescent="0.25">
      <c r="A12" s="11"/>
      <c r="B12" s="11"/>
      <c r="C12" s="34"/>
      <c r="D12" s="33"/>
      <c r="E12" s="34"/>
      <c r="F12" s="33"/>
      <c r="G12" s="34"/>
      <c r="H12" s="33"/>
      <c r="I12" s="34"/>
      <c r="J12" s="33"/>
      <c r="K12" s="34"/>
      <c r="L12" s="33"/>
      <c r="M12" s="11"/>
      <c r="N12" s="11"/>
      <c r="O12" s="25" t="str">
        <f>IF('Spielplan Spieler 2'!C12="","",IF('Lageplan Spieler 1'!C11='Lageplan Spieler 1'!$O$8,"✓",IF('Lageplan Spieler 1'!C11='Lageplan Spieler 1'!$O$9,"✓",IF('Lageplan Spieler 1'!C11='Lageplan Spieler 1'!$O$10,"✓",IF('Lageplan Spieler 1'!C11='Lageplan Spieler 1'!$O$11,"✓",IF('Lageplan Spieler 1'!C11='Lageplan Spieler 1'!$O$12,"✓","X"))))))</f>
        <v/>
      </c>
      <c r="P12" s="24" t="str">
        <f>IF('Spielplan Spieler 2'!D12="","",IF('Lageplan Spieler 1'!D11='Lageplan Spieler 1'!$O$8,"✓",IF('Lageplan Spieler 1'!D11='Lageplan Spieler 1'!$O$9,"✓",IF('Lageplan Spieler 1'!D11='Lageplan Spieler 1'!$O$10,"✓",IF('Lageplan Spieler 1'!D11='Lageplan Spieler 1'!$O$11,"✓",IF('Lageplan Spieler 1'!D11='Lageplan Spieler 1'!$O$12,"✓","X"))))))</f>
        <v/>
      </c>
      <c r="Q12" s="25" t="str">
        <f>IF('Spielplan Spieler 2'!E12="","",IF('Lageplan Spieler 1'!E11='Lageplan Spieler 1'!$O$8,"✓",IF('Lageplan Spieler 1'!E11='Lageplan Spieler 1'!$O$9,"✓",IF('Lageplan Spieler 1'!E11='Lageplan Spieler 1'!$O$10,"✓",IF('Lageplan Spieler 1'!E11='Lageplan Spieler 1'!$O$11,"✓",IF('Lageplan Spieler 1'!E11='Lageplan Spieler 1'!$O$12,"✓","X"))))))</f>
        <v/>
      </c>
      <c r="R12" s="24" t="str">
        <f>IF('Spielplan Spieler 2'!F12="","",IF('Lageplan Spieler 1'!F11='Lageplan Spieler 1'!$O$8,"✓",IF('Lageplan Spieler 1'!F11='Lageplan Spieler 1'!$O$9,"✓",IF('Lageplan Spieler 1'!F11='Lageplan Spieler 1'!$O$10,"✓",IF('Lageplan Spieler 1'!F11='Lageplan Spieler 1'!$O$11,"✓",IF('Lageplan Spieler 1'!F11='Lageplan Spieler 1'!$O$12,"✓","X"))))))</f>
        <v/>
      </c>
      <c r="S12" s="25" t="str">
        <f>IF('Spielplan Spieler 2'!G12="","",IF('Lageplan Spieler 1'!G11='Lageplan Spieler 1'!$O$8,"✓",IF('Lageplan Spieler 1'!G11='Lageplan Spieler 1'!$O$9,"✓",IF('Lageplan Spieler 1'!G11='Lageplan Spieler 1'!$O$10,"✓",IF('Lageplan Spieler 1'!G11='Lageplan Spieler 1'!$O$11,"✓",IF('Lageplan Spieler 1'!G11='Lageplan Spieler 1'!$O$12,"✓","X"))))))</f>
        <v/>
      </c>
      <c r="T12" s="24" t="str">
        <f>IF('Spielplan Spieler 2'!H12="","",IF('Lageplan Spieler 1'!H11='Lageplan Spieler 1'!$O$8,"✓",IF('Lageplan Spieler 1'!H11='Lageplan Spieler 1'!$O$9,"✓",IF('Lageplan Spieler 1'!H11='Lageplan Spieler 1'!$O$10,"✓",IF('Lageplan Spieler 1'!H11='Lageplan Spieler 1'!$O$11,"✓",IF('Lageplan Spieler 1'!H11='Lageplan Spieler 1'!$O$12,"✓","X"))))))</f>
        <v/>
      </c>
      <c r="U12" s="25" t="str">
        <f>IF('Spielplan Spieler 2'!I12="","",IF('Lageplan Spieler 1'!I11='Lageplan Spieler 1'!$O$8,"✓",IF('Lageplan Spieler 1'!I11='Lageplan Spieler 1'!$O$9,"✓",IF('Lageplan Spieler 1'!I11='Lageplan Spieler 1'!$O$10,"✓",IF('Lageplan Spieler 1'!I11='Lageplan Spieler 1'!$O$11,"✓",IF('Lageplan Spieler 1'!I11='Lageplan Spieler 1'!$O$12,"✓","X"))))))</f>
        <v/>
      </c>
      <c r="V12" s="24" t="str">
        <f>IF('Spielplan Spieler 2'!J12="","",IF('Lageplan Spieler 1'!J11='Lageplan Spieler 1'!$O$8,"✓",IF('Lageplan Spieler 1'!J11='Lageplan Spieler 1'!$O$9,"✓",IF('Lageplan Spieler 1'!J11='Lageplan Spieler 1'!$O$10,"✓",IF('Lageplan Spieler 1'!J11='Lageplan Spieler 1'!$O$11,"✓",IF('Lageplan Spieler 1'!J11='Lageplan Spieler 1'!$O$12,"✓","X"))))))</f>
        <v/>
      </c>
      <c r="W12" s="25" t="str">
        <f>IF('Spielplan Spieler 2'!K12="","",IF('Lageplan Spieler 1'!K11='Lageplan Spieler 1'!$O$8,"✓",IF('Lageplan Spieler 1'!K11='Lageplan Spieler 1'!$O$9,"✓",IF('Lageplan Spieler 1'!K11='Lageplan Spieler 1'!$O$10,"✓",IF('Lageplan Spieler 1'!K11='Lageplan Spieler 1'!$O$11,"✓",IF('Lageplan Spieler 1'!K11='Lageplan Spieler 1'!$O$12,"✓","X"))))))</f>
        <v/>
      </c>
      <c r="X12" s="24" t="str">
        <f>IF('Spielplan Spieler 2'!L12="","",IF('Lageplan Spieler 1'!L11='Lageplan Spieler 1'!$O$8,"✓",IF('Lageplan Spieler 1'!L11='Lageplan Spieler 1'!$O$9,"✓",IF('Lageplan Spieler 1'!L11='Lageplan Spieler 1'!$O$10,"✓",IF('Lageplan Spieler 1'!L11='Lageplan Spieler 1'!$O$11,"✓",IF('Lageplan Spieler 1'!L11='Lageplan Spieler 1'!$O$12,"✓","X"))))))</f>
        <v/>
      </c>
      <c r="Y12" s="11"/>
      <c r="Z12" s="11"/>
      <c r="AA12" s="11"/>
      <c r="AB12" s="11"/>
      <c r="AC12" s="11"/>
    </row>
    <row r="13" spans="1:29" ht="24.95" customHeight="1" x14ac:dyDescent="0.25">
      <c r="A13" s="11"/>
      <c r="B13" s="11"/>
      <c r="C13" s="33"/>
      <c r="D13" s="34"/>
      <c r="E13" s="33"/>
      <c r="F13" s="34"/>
      <c r="G13" s="33"/>
      <c r="H13" s="34"/>
      <c r="I13" s="33"/>
      <c r="J13" s="34"/>
      <c r="K13" s="33"/>
      <c r="L13" s="34"/>
      <c r="M13" s="11"/>
      <c r="N13" s="11"/>
      <c r="O13" s="24" t="str">
        <f>IF('Spielplan Spieler 2'!C13="","",IF('Lageplan Spieler 1'!C12='Lageplan Spieler 1'!$O$8,"✓",IF('Lageplan Spieler 1'!C12='Lageplan Spieler 1'!$O$9,"✓",IF('Lageplan Spieler 1'!C12='Lageplan Spieler 1'!$O$10,"✓",IF('Lageplan Spieler 1'!C12='Lageplan Spieler 1'!$O$11,"✓",IF('Lageplan Spieler 1'!C12='Lageplan Spieler 1'!$O$12,"✓","X"))))))</f>
        <v/>
      </c>
      <c r="P13" s="25" t="str">
        <f>IF('Spielplan Spieler 2'!D13="","",IF('Lageplan Spieler 1'!D12='Lageplan Spieler 1'!$O$8,"✓",IF('Lageplan Spieler 1'!D12='Lageplan Spieler 1'!$O$9,"✓",IF('Lageplan Spieler 1'!D12='Lageplan Spieler 1'!$O$10,"✓",IF('Lageplan Spieler 1'!D12='Lageplan Spieler 1'!$O$11,"✓",IF('Lageplan Spieler 1'!D12='Lageplan Spieler 1'!$O$12,"✓","X"))))))</f>
        <v/>
      </c>
      <c r="Q13" s="24" t="str">
        <f>IF('Spielplan Spieler 2'!E13="","",IF('Lageplan Spieler 1'!E12='Lageplan Spieler 1'!$O$8,"✓",IF('Lageplan Spieler 1'!E12='Lageplan Spieler 1'!$O$9,"✓",IF('Lageplan Spieler 1'!E12='Lageplan Spieler 1'!$O$10,"✓",IF('Lageplan Spieler 1'!E12='Lageplan Spieler 1'!$O$11,"✓",IF('Lageplan Spieler 1'!E12='Lageplan Spieler 1'!$O$12,"✓","X"))))))</f>
        <v/>
      </c>
      <c r="R13" s="25" t="str">
        <f>IF('Spielplan Spieler 2'!F13="","",IF('Lageplan Spieler 1'!F12='Lageplan Spieler 1'!$O$8,"✓",IF('Lageplan Spieler 1'!F12='Lageplan Spieler 1'!$O$9,"✓",IF('Lageplan Spieler 1'!F12='Lageplan Spieler 1'!$O$10,"✓",IF('Lageplan Spieler 1'!F12='Lageplan Spieler 1'!$O$11,"✓",IF('Lageplan Spieler 1'!F12='Lageplan Spieler 1'!$O$12,"✓","X"))))))</f>
        <v/>
      </c>
      <c r="S13" s="24" t="str">
        <f>IF('Spielplan Spieler 2'!G13="","",IF('Lageplan Spieler 1'!G12='Lageplan Spieler 1'!$O$8,"✓",IF('Lageplan Spieler 1'!G12='Lageplan Spieler 1'!$O$9,"✓",IF('Lageplan Spieler 1'!G12='Lageplan Spieler 1'!$O$10,"✓",IF('Lageplan Spieler 1'!G12='Lageplan Spieler 1'!$O$11,"✓",IF('Lageplan Spieler 1'!G12='Lageplan Spieler 1'!$O$12,"✓","X"))))))</f>
        <v/>
      </c>
      <c r="T13" s="25" t="str">
        <f>IF('Spielplan Spieler 2'!H13="","",IF('Lageplan Spieler 1'!H12='Lageplan Spieler 1'!$O$8,"✓",IF('Lageplan Spieler 1'!H12='Lageplan Spieler 1'!$O$9,"✓",IF('Lageplan Spieler 1'!H12='Lageplan Spieler 1'!$O$10,"✓",IF('Lageplan Spieler 1'!H12='Lageplan Spieler 1'!$O$11,"✓",IF('Lageplan Spieler 1'!H12='Lageplan Spieler 1'!$O$12,"✓","X"))))))</f>
        <v/>
      </c>
      <c r="U13" s="24" t="str">
        <f>IF('Spielplan Spieler 2'!I13="","",IF('Lageplan Spieler 1'!I12='Lageplan Spieler 1'!$O$8,"✓",IF('Lageplan Spieler 1'!I12='Lageplan Spieler 1'!$O$9,"✓",IF('Lageplan Spieler 1'!I12='Lageplan Spieler 1'!$O$10,"✓",IF('Lageplan Spieler 1'!I12='Lageplan Spieler 1'!$O$11,"✓",IF('Lageplan Spieler 1'!I12='Lageplan Spieler 1'!$O$12,"✓","X"))))))</f>
        <v/>
      </c>
      <c r="V13" s="25" t="str">
        <f>IF('Spielplan Spieler 2'!J13="","",IF('Lageplan Spieler 1'!J12='Lageplan Spieler 1'!$O$8,"✓",IF('Lageplan Spieler 1'!J12='Lageplan Spieler 1'!$O$9,"✓",IF('Lageplan Spieler 1'!J12='Lageplan Spieler 1'!$O$10,"✓",IF('Lageplan Spieler 1'!J12='Lageplan Spieler 1'!$O$11,"✓",IF('Lageplan Spieler 1'!J12='Lageplan Spieler 1'!$O$12,"✓","X"))))))</f>
        <v/>
      </c>
      <c r="W13" s="24" t="str">
        <f>IF('Spielplan Spieler 2'!K13="","",IF('Lageplan Spieler 1'!K12='Lageplan Spieler 1'!$O$8,"✓",IF('Lageplan Spieler 1'!K12='Lageplan Spieler 1'!$O$9,"✓",IF('Lageplan Spieler 1'!K12='Lageplan Spieler 1'!$O$10,"✓",IF('Lageplan Spieler 1'!K12='Lageplan Spieler 1'!$O$11,"✓",IF('Lageplan Spieler 1'!K12='Lageplan Spieler 1'!$O$12,"✓","X"))))))</f>
        <v/>
      </c>
      <c r="X13" s="25" t="str">
        <f>IF('Spielplan Spieler 2'!L13="","",IF('Lageplan Spieler 1'!L12='Lageplan Spieler 1'!$O$8,"✓",IF('Lageplan Spieler 1'!L12='Lageplan Spieler 1'!$O$9,"✓",IF('Lageplan Spieler 1'!L12='Lageplan Spieler 1'!$O$10,"✓",IF('Lageplan Spieler 1'!L12='Lageplan Spieler 1'!$O$11,"✓",IF('Lageplan Spieler 1'!L12='Lageplan Spieler 1'!$O$12,"✓","X"))))))</f>
        <v/>
      </c>
      <c r="Y13" s="11"/>
      <c r="Z13" s="11"/>
      <c r="AA13" s="11"/>
      <c r="AB13" s="11"/>
      <c r="AC13" s="11"/>
    </row>
    <row r="14" spans="1:29" ht="24.95" customHeight="1" x14ac:dyDescent="0.25">
      <c r="A14" s="11"/>
      <c r="B14" s="11"/>
      <c r="C14" s="34"/>
      <c r="D14" s="33"/>
      <c r="E14" s="34"/>
      <c r="F14" s="33"/>
      <c r="G14" s="34"/>
      <c r="H14" s="33"/>
      <c r="I14" s="34"/>
      <c r="J14" s="33"/>
      <c r="K14" s="34"/>
      <c r="L14" s="33"/>
      <c r="M14" s="11"/>
      <c r="N14" s="11"/>
      <c r="O14" s="25" t="str">
        <f>IF('Spielplan Spieler 2'!C14="","",IF('Lageplan Spieler 1'!C13='Lageplan Spieler 1'!$O$8,"✓",IF('Lageplan Spieler 1'!C13='Lageplan Spieler 1'!$O$9,"✓",IF('Lageplan Spieler 1'!C13='Lageplan Spieler 1'!$O$10,"✓",IF('Lageplan Spieler 1'!C13='Lageplan Spieler 1'!$O$11,"✓",IF('Lageplan Spieler 1'!C13='Lageplan Spieler 1'!$O$12,"✓","X"))))))</f>
        <v/>
      </c>
      <c r="P14" s="24" t="str">
        <f>IF('Spielplan Spieler 2'!D14="","",IF('Lageplan Spieler 1'!D13='Lageplan Spieler 1'!$O$8,"✓",IF('Lageplan Spieler 1'!D13='Lageplan Spieler 1'!$O$9,"✓",IF('Lageplan Spieler 1'!D13='Lageplan Spieler 1'!$O$10,"✓",IF('Lageplan Spieler 1'!D13='Lageplan Spieler 1'!$O$11,"✓",IF('Lageplan Spieler 1'!D13='Lageplan Spieler 1'!$O$12,"✓","X"))))))</f>
        <v/>
      </c>
      <c r="Q14" s="25" t="str">
        <f>IF('Spielplan Spieler 2'!E14="","",IF('Lageplan Spieler 1'!E13='Lageplan Spieler 1'!$O$8,"✓",IF('Lageplan Spieler 1'!E13='Lageplan Spieler 1'!$O$9,"✓",IF('Lageplan Spieler 1'!E13='Lageplan Spieler 1'!$O$10,"✓",IF('Lageplan Spieler 1'!E13='Lageplan Spieler 1'!$O$11,"✓",IF('Lageplan Spieler 1'!E13='Lageplan Spieler 1'!$O$12,"✓","X"))))))</f>
        <v/>
      </c>
      <c r="R14" s="24" t="str">
        <f>IF('Spielplan Spieler 2'!F14="","",IF('Lageplan Spieler 1'!F13='Lageplan Spieler 1'!$O$8,"✓",IF('Lageplan Spieler 1'!F13='Lageplan Spieler 1'!$O$9,"✓",IF('Lageplan Spieler 1'!F13='Lageplan Spieler 1'!$O$10,"✓",IF('Lageplan Spieler 1'!F13='Lageplan Spieler 1'!$O$11,"✓",IF('Lageplan Spieler 1'!F13='Lageplan Spieler 1'!$O$12,"✓","X"))))))</f>
        <v/>
      </c>
      <c r="S14" s="25" t="str">
        <f>IF('Spielplan Spieler 2'!G14="","",IF('Lageplan Spieler 1'!G13='Lageplan Spieler 1'!$O$8,"✓",IF('Lageplan Spieler 1'!G13='Lageplan Spieler 1'!$O$9,"✓",IF('Lageplan Spieler 1'!G13='Lageplan Spieler 1'!$O$10,"✓",IF('Lageplan Spieler 1'!G13='Lageplan Spieler 1'!$O$11,"✓",IF('Lageplan Spieler 1'!G13='Lageplan Spieler 1'!$O$12,"✓","X"))))))</f>
        <v/>
      </c>
      <c r="T14" s="24" t="str">
        <f>IF('Spielplan Spieler 2'!H14="","",IF('Lageplan Spieler 1'!H13='Lageplan Spieler 1'!$O$8,"✓",IF('Lageplan Spieler 1'!H13='Lageplan Spieler 1'!$O$9,"✓",IF('Lageplan Spieler 1'!H13='Lageplan Spieler 1'!$O$10,"✓",IF('Lageplan Spieler 1'!H13='Lageplan Spieler 1'!$O$11,"✓",IF('Lageplan Spieler 1'!H13='Lageplan Spieler 1'!$O$12,"✓","X"))))))</f>
        <v/>
      </c>
      <c r="U14" s="25" t="str">
        <f>IF('Spielplan Spieler 2'!I14="","",IF('Lageplan Spieler 1'!I13='Lageplan Spieler 1'!$O$8,"✓",IF('Lageplan Spieler 1'!I13='Lageplan Spieler 1'!$O$9,"✓",IF('Lageplan Spieler 1'!I13='Lageplan Spieler 1'!$O$10,"✓",IF('Lageplan Spieler 1'!I13='Lageplan Spieler 1'!$O$11,"✓",IF('Lageplan Spieler 1'!I13='Lageplan Spieler 1'!$O$12,"✓","X"))))))</f>
        <v/>
      </c>
      <c r="V14" s="24" t="str">
        <f>IF('Spielplan Spieler 2'!J14="","",IF('Lageplan Spieler 1'!J13='Lageplan Spieler 1'!$O$8,"✓",IF('Lageplan Spieler 1'!J13='Lageplan Spieler 1'!$O$9,"✓",IF('Lageplan Spieler 1'!J13='Lageplan Spieler 1'!$O$10,"✓",IF('Lageplan Spieler 1'!J13='Lageplan Spieler 1'!$O$11,"✓",IF('Lageplan Spieler 1'!J13='Lageplan Spieler 1'!$O$12,"✓","X"))))))</f>
        <v/>
      </c>
      <c r="W14" s="25" t="str">
        <f>IF('Spielplan Spieler 2'!K14="","",IF('Lageplan Spieler 1'!K13='Lageplan Spieler 1'!$O$8,"✓",IF('Lageplan Spieler 1'!K13='Lageplan Spieler 1'!$O$9,"✓",IF('Lageplan Spieler 1'!K13='Lageplan Spieler 1'!$O$10,"✓",IF('Lageplan Spieler 1'!K13='Lageplan Spieler 1'!$O$11,"✓",IF('Lageplan Spieler 1'!K13='Lageplan Spieler 1'!$O$12,"✓","X"))))))</f>
        <v/>
      </c>
      <c r="X14" s="24" t="str">
        <f>IF('Spielplan Spieler 2'!L14="","",IF('Lageplan Spieler 1'!L13='Lageplan Spieler 1'!$O$8,"✓",IF('Lageplan Spieler 1'!L13='Lageplan Spieler 1'!$O$9,"✓",IF('Lageplan Spieler 1'!L13='Lageplan Spieler 1'!$O$10,"✓",IF('Lageplan Spieler 1'!L13='Lageplan Spieler 1'!$O$11,"✓",IF('Lageplan Spieler 1'!L13='Lageplan Spieler 1'!$O$12,"✓","X"))))))</f>
        <v/>
      </c>
      <c r="Y14" s="11"/>
      <c r="Z14" s="11"/>
      <c r="AA14" s="11"/>
      <c r="AB14" s="11"/>
      <c r="AC14" s="11"/>
    </row>
    <row r="15" spans="1:29" ht="24.95" customHeight="1" x14ac:dyDescent="0.25">
      <c r="A15" s="11"/>
      <c r="B15" s="11"/>
      <c r="C15" s="33"/>
      <c r="D15" s="34"/>
      <c r="E15" s="33"/>
      <c r="F15" s="34"/>
      <c r="G15" s="33"/>
      <c r="H15" s="34"/>
      <c r="I15" s="33"/>
      <c r="J15" s="34"/>
      <c r="K15" s="33"/>
      <c r="L15" s="34"/>
      <c r="M15" s="11"/>
      <c r="N15" s="11"/>
      <c r="O15" s="24" t="str">
        <f>IF('Spielplan Spieler 2'!C15="","",IF('Lageplan Spieler 1'!C14='Lageplan Spieler 1'!$O$8,"✓",IF('Lageplan Spieler 1'!C14='Lageplan Spieler 1'!$O$9,"✓",IF('Lageplan Spieler 1'!C14='Lageplan Spieler 1'!$O$10,"✓",IF('Lageplan Spieler 1'!C14='Lageplan Spieler 1'!$O$11,"✓",IF('Lageplan Spieler 1'!C14='Lageplan Spieler 1'!$O$12,"✓","X"))))))</f>
        <v/>
      </c>
      <c r="P15" s="25" t="str">
        <f>IF('Spielplan Spieler 2'!D15="","",IF('Lageplan Spieler 1'!D14='Lageplan Spieler 1'!$O$8,"✓",IF('Lageplan Spieler 1'!D14='Lageplan Spieler 1'!$O$9,"✓",IF('Lageplan Spieler 1'!D14='Lageplan Spieler 1'!$O$10,"✓",IF('Lageplan Spieler 1'!D14='Lageplan Spieler 1'!$O$11,"✓",IF('Lageplan Spieler 1'!D14='Lageplan Spieler 1'!$O$12,"✓","X"))))))</f>
        <v/>
      </c>
      <c r="Q15" s="24" t="str">
        <f>IF('Spielplan Spieler 2'!E15="","",IF('Lageplan Spieler 1'!E14='Lageplan Spieler 1'!$O$8,"✓",IF('Lageplan Spieler 1'!E14='Lageplan Spieler 1'!$O$9,"✓",IF('Lageplan Spieler 1'!E14='Lageplan Spieler 1'!$O$10,"✓",IF('Lageplan Spieler 1'!E14='Lageplan Spieler 1'!$O$11,"✓",IF('Lageplan Spieler 1'!E14='Lageplan Spieler 1'!$O$12,"✓","X"))))))</f>
        <v/>
      </c>
      <c r="R15" s="25" t="str">
        <f>IF('Spielplan Spieler 2'!F15="","",IF('Lageplan Spieler 1'!F14='Lageplan Spieler 1'!$O$8,"✓",IF('Lageplan Spieler 1'!F14='Lageplan Spieler 1'!$O$9,"✓",IF('Lageplan Spieler 1'!F14='Lageplan Spieler 1'!$O$10,"✓",IF('Lageplan Spieler 1'!F14='Lageplan Spieler 1'!$O$11,"✓",IF('Lageplan Spieler 1'!F14='Lageplan Spieler 1'!$O$12,"✓","X"))))))</f>
        <v/>
      </c>
      <c r="S15" s="24" t="str">
        <f>IF('Spielplan Spieler 2'!G15="","",IF('Lageplan Spieler 1'!G14='Lageplan Spieler 1'!$O$8,"✓",IF('Lageplan Spieler 1'!G14='Lageplan Spieler 1'!$O$9,"✓",IF('Lageplan Spieler 1'!G14='Lageplan Spieler 1'!$O$10,"✓",IF('Lageplan Spieler 1'!G14='Lageplan Spieler 1'!$O$11,"✓",IF('Lageplan Spieler 1'!G14='Lageplan Spieler 1'!$O$12,"✓","X"))))))</f>
        <v/>
      </c>
      <c r="T15" s="25" t="str">
        <f>IF('Spielplan Spieler 2'!H15="","",IF('Lageplan Spieler 1'!H14='Lageplan Spieler 1'!$O$8,"✓",IF('Lageplan Spieler 1'!H14='Lageplan Spieler 1'!$O$9,"✓",IF('Lageplan Spieler 1'!H14='Lageplan Spieler 1'!$O$10,"✓",IF('Lageplan Spieler 1'!H14='Lageplan Spieler 1'!$O$11,"✓",IF('Lageplan Spieler 1'!H14='Lageplan Spieler 1'!$O$12,"✓","X"))))))</f>
        <v/>
      </c>
      <c r="U15" s="24" t="str">
        <f>IF('Spielplan Spieler 2'!I15="","",IF('Lageplan Spieler 1'!I14='Lageplan Spieler 1'!$O$8,"✓",IF('Lageplan Spieler 1'!I14='Lageplan Spieler 1'!$O$9,"✓",IF('Lageplan Spieler 1'!I14='Lageplan Spieler 1'!$O$10,"✓",IF('Lageplan Spieler 1'!I14='Lageplan Spieler 1'!$O$11,"✓",IF('Lageplan Spieler 1'!I14='Lageplan Spieler 1'!$O$12,"✓","X"))))))</f>
        <v/>
      </c>
      <c r="V15" s="25" t="str">
        <f>IF('Spielplan Spieler 2'!J15="","",IF('Lageplan Spieler 1'!J14='Lageplan Spieler 1'!$O$8,"✓",IF('Lageplan Spieler 1'!J14='Lageplan Spieler 1'!$O$9,"✓",IF('Lageplan Spieler 1'!J14='Lageplan Spieler 1'!$O$10,"✓",IF('Lageplan Spieler 1'!J14='Lageplan Spieler 1'!$O$11,"✓",IF('Lageplan Spieler 1'!J14='Lageplan Spieler 1'!$O$12,"✓","X"))))))</f>
        <v/>
      </c>
      <c r="W15" s="24" t="str">
        <f>IF('Spielplan Spieler 2'!K15="","",IF('Lageplan Spieler 1'!K14='Lageplan Spieler 1'!$O$8,"✓",IF('Lageplan Spieler 1'!K14='Lageplan Spieler 1'!$O$9,"✓",IF('Lageplan Spieler 1'!K14='Lageplan Spieler 1'!$O$10,"✓",IF('Lageplan Spieler 1'!K14='Lageplan Spieler 1'!$O$11,"✓",IF('Lageplan Spieler 1'!K14='Lageplan Spieler 1'!$O$12,"✓","X"))))))</f>
        <v/>
      </c>
      <c r="X15" s="25" t="str">
        <f>IF('Spielplan Spieler 2'!L15="","",IF('Lageplan Spieler 1'!L14='Lageplan Spieler 1'!$O$8,"✓",IF('Lageplan Spieler 1'!L14='Lageplan Spieler 1'!$O$9,"✓",IF('Lageplan Spieler 1'!L14='Lageplan Spieler 1'!$O$10,"✓",IF('Lageplan Spieler 1'!L14='Lageplan Spieler 1'!$O$11,"✓",IF('Lageplan Spieler 1'!L14='Lageplan Spieler 1'!$O$12,"✓","X"))))))</f>
        <v/>
      </c>
      <c r="Y15" s="11"/>
      <c r="Z15" s="11"/>
      <c r="AA15" s="11"/>
      <c r="AB15" s="11"/>
      <c r="AC15" s="11"/>
    </row>
    <row r="16" spans="1:29" ht="24.95" customHeight="1" x14ac:dyDescent="0.25">
      <c r="A16" s="11"/>
      <c r="B16" s="11"/>
      <c r="C16" s="34"/>
      <c r="D16" s="33"/>
      <c r="E16" s="34"/>
      <c r="F16" s="33"/>
      <c r="G16" s="34"/>
      <c r="H16" s="33"/>
      <c r="I16" s="34"/>
      <c r="J16" s="33"/>
      <c r="K16" s="34"/>
      <c r="L16" s="33"/>
      <c r="M16" s="11"/>
      <c r="N16" s="11"/>
      <c r="O16" s="25" t="str">
        <f>IF('Spielplan Spieler 2'!C16="","",IF('Lageplan Spieler 1'!C15='Lageplan Spieler 1'!$O$8,"✓",IF('Lageplan Spieler 1'!C15='Lageplan Spieler 1'!$O$9,"✓",IF('Lageplan Spieler 1'!C15='Lageplan Spieler 1'!$O$10,"✓",IF('Lageplan Spieler 1'!C15='Lageplan Spieler 1'!$O$11,"✓",IF('Lageplan Spieler 1'!C15='Lageplan Spieler 1'!$O$12,"✓","X"))))))</f>
        <v/>
      </c>
      <c r="P16" s="24" t="str">
        <f>IF('Spielplan Spieler 2'!D16="","",IF('Lageplan Spieler 1'!D15='Lageplan Spieler 1'!$O$8,"✓",IF('Lageplan Spieler 1'!D15='Lageplan Spieler 1'!$O$9,"✓",IF('Lageplan Spieler 1'!D15='Lageplan Spieler 1'!$O$10,"✓",IF('Lageplan Spieler 1'!D15='Lageplan Spieler 1'!$O$11,"✓",IF('Lageplan Spieler 1'!D15='Lageplan Spieler 1'!$O$12,"✓","X"))))))</f>
        <v/>
      </c>
      <c r="Q16" s="25" t="str">
        <f>IF('Spielplan Spieler 2'!E16="","",IF('Lageplan Spieler 1'!E15='Lageplan Spieler 1'!$O$8,"✓",IF('Lageplan Spieler 1'!E15='Lageplan Spieler 1'!$O$9,"✓",IF('Lageplan Spieler 1'!E15='Lageplan Spieler 1'!$O$10,"✓",IF('Lageplan Spieler 1'!E15='Lageplan Spieler 1'!$O$11,"✓",IF('Lageplan Spieler 1'!E15='Lageplan Spieler 1'!$O$12,"✓","X"))))))</f>
        <v/>
      </c>
      <c r="R16" s="24" t="str">
        <f>IF('Spielplan Spieler 2'!F16="","",IF('Lageplan Spieler 1'!F15='Lageplan Spieler 1'!$O$8,"✓",IF('Lageplan Spieler 1'!F15='Lageplan Spieler 1'!$O$9,"✓",IF('Lageplan Spieler 1'!F15='Lageplan Spieler 1'!$O$10,"✓",IF('Lageplan Spieler 1'!F15='Lageplan Spieler 1'!$O$11,"✓",IF('Lageplan Spieler 1'!F15='Lageplan Spieler 1'!$O$12,"✓","X"))))))</f>
        <v/>
      </c>
      <c r="S16" s="25" t="str">
        <f>IF('Spielplan Spieler 2'!G16="","",IF('Lageplan Spieler 1'!G15='Lageplan Spieler 1'!$O$8,"✓",IF('Lageplan Spieler 1'!G15='Lageplan Spieler 1'!$O$9,"✓",IF('Lageplan Spieler 1'!G15='Lageplan Spieler 1'!$O$10,"✓",IF('Lageplan Spieler 1'!G15='Lageplan Spieler 1'!$O$11,"✓",IF('Lageplan Spieler 1'!G15='Lageplan Spieler 1'!$O$12,"✓","X"))))))</f>
        <v/>
      </c>
      <c r="T16" s="24" t="str">
        <f>IF('Spielplan Spieler 2'!H16="","",IF('Lageplan Spieler 1'!H15='Lageplan Spieler 1'!$O$8,"✓",IF('Lageplan Spieler 1'!H15='Lageplan Spieler 1'!$O$9,"✓",IF('Lageplan Spieler 1'!H15='Lageplan Spieler 1'!$O$10,"✓",IF('Lageplan Spieler 1'!H15='Lageplan Spieler 1'!$O$11,"✓",IF('Lageplan Spieler 1'!H15='Lageplan Spieler 1'!$O$12,"✓","X"))))))</f>
        <v/>
      </c>
      <c r="U16" s="25" t="str">
        <f>IF('Spielplan Spieler 2'!I16="","",IF('Lageplan Spieler 1'!I15='Lageplan Spieler 1'!$O$8,"✓",IF('Lageplan Spieler 1'!I15='Lageplan Spieler 1'!$O$9,"✓",IF('Lageplan Spieler 1'!I15='Lageplan Spieler 1'!$O$10,"✓",IF('Lageplan Spieler 1'!I15='Lageplan Spieler 1'!$O$11,"✓",IF('Lageplan Spieler 1'!I15='Lageplan Spieler 1'!$O$12,"✓","X"))))))</f>
        <v/>
      </c>
      <c r="V16" s="24" t="str">
        <f>IF('Spielplan Spieler 2'!J16="","",IF('Lageplan Spieler 1'!J15='Lageplan Spieler 1'!$O$8,"✓",IF('Lageplan Spieler 1'!J15='Lageplan Spieler 1'!$O$9,"✓",IF('Lageplan Spieler 1'!J15='Lageplan Spieler 1'!$O$10,"✓",IF('Lageplan Spieler 1'!J15='Lageplan Spieler 1'!$O$11,"✓",IF('Lageplan Spieler 1'!J15='Lageplan Spieler 1'!$O$12,"✓","X"))))))</f>
        <v/>
      </c>
      <c r="W16" s="25" t="str">
        <f>IF('Spielplan Spieler 2'!K16="","",IF('Lageplan Spieler 1'!K15='Lageplan Spieler 1'!$O$8,"✓",IF('Lageplan Spieler 1'!K15='Lageplan Spieler 1'!$O$9,"✓",IF('Lageplan Spieler 1'!K15='Lageplan Spieler 1'!$O$10,"✓",IF('Lageplan Spieler 1'!K15='Lageplan Spieler 1'!$O$11,"✓",IF('Lageplan Spieler 1'!K15='Lageplan Spieler 1'!$O$12,"✓","X"))))))</f>
        <v/>
      </c>
      <c r="X16" s="24" t="str">
        <f>IF('Spielplan Spieler 2'!L16="","",IF('Lageplan Spieler 1'!L15='Lageplan Spieler 1'!$O$8,"✓",IF('Lageplan Spieler 1'!L15='Lageplan Spieler 1'!$O$9,"✓",IF('Lageplan Spieler 1'!L15='Lageplan Spieler 1'!$O$10,"✓",IF('Lageplan Spieler 1'!L15='Lageplan Spieler 1'!$O$11,"✓",IF('Lageplan Spieler 1'!L15='Lageplan Spieler 1'!$O$12,"✓","X"))))))</f>
        <v/>
      </c>
      <c r="Y16" s="11"/>
      <c r="Z16" s="11"/>
      <c r="AA16" s="11"/>
      <c r="AB16" s="11"/>
      <c r="AC16" s="11"/>
    </row>
    <row r="17" spans="1:29" ht="24.95" customHeight="1" x14ac:dyDescent="0.25">
      <c r="A17" s="11"/>
      <c r="B17" s="11"/>
      <c r="C17" s="33"/>
      <c r="D17" s="34"/>
      <c r="E17" s="33"/>
      <c r="F17" s="34"/>
      <c r="G17" s="33"/>
      <c r="H17" s="34"/>
      <c r="I17" s="33"/>
      <c r="J17" s="34"/>
      <c r="K17" s="33"/>
      <c r="L17" s="34"/>
      <c r="M17" s="11"/>
      <c r="N17" s="11"/>
      <c r="O17" s="24" t="str">
        <f>IF('Spielplan Spieler 2'!C17="","",IF('Lageplan Spieler 1'!C16='Lageplan Spieler 1'!$O$8,"✓",IF('Lageplan Spieler 1'!C16='Lageplan Spieler 1'!$O$9,"✓",IF('Lageplan Spieler 1'!C16='Lageplan Spieler 1'!$O$10,"✓",IF('Lageplan Spieler 1'!C16='Lageplan Spieler 1'!$O$11,"✓",IF('Lageplan Spieler 1'!C16='Lageplan Spieler 1'!$O$12,"✓","X"))))))</f>
        <v/>
      </c>
      <c r="P17" s="25" t="str">
        <f>IF('Spielplan Spieler 2'!D17="","",IF('Lageplan Spieler 1'!D16='Lageplan Spieler 1'!$O$8,"✓",IF('Lageplan Spieler 1'!D16='Lageplan Spieler 1'!$O$9,"✓",IF('Lageplan Spieler 1'!D16='Lageplan Spieler 1'!$O$10,"✓",IF('Lageplan Spieler 1'!D16='Lageplan Spieler 1'!$O$11,"✓",IF('Lageplan Spieler 1'!D16='Lageplan Spieler 1'!$O$12,"✓","X"))))))</f>
        <v/>
      </c>
      <c r="Q17" s="24" t="str">
        <f>IF('Spielplan Spieler 2'!E17="","",IF('Lageplan Spieler 1'!E16='Lageplan Spieler 1'!$O$8,"✓",IF('Lageplan Spieler 1'!E16='Lageplan Spieler 1'!$O$9,"✓",IF('Lageplan Spieler 1'!E16='Lageplan Spieler 1'!$O$10,"✓",IF('Lageplan Spieler 1'!E16='Lageplan Spieler 1'!$O$11,"✓",IF('Lageplan Spieler 1'!E16='Lageplan Spieler 1'!$O$12,"✓","X"))))))</f>
        <v/>
      </c>
      <c r="R17" s="25" t="str">
        <f>IF('Spielplan Spieler 2'!F17="","",IF('Lageplan Spieler 1'!F16='Lageplan Spieler 1'!$O$8,"✓",IF('Lageplan Spieler 1'!F16='Lageplan Spieler 1'!$O$9,"✓",IF('Lageplan Spieler 1'!F16='Lageplan Spieler 1'!$O$10,"✓",IF('Lageplan Spieler 1'!F16='Lageplan Spieler 1'!$O$11,"✓",IF('Lageplan Spieler 1'!F16='Lageplan Spieler 1'!$O$12,"✓","X"))))))</f>
        <v/>
      </c>
      <c r="S17" s="24" t="str">
        <f>IF('Spielplan Spieler 2'!G17="","",IF('Lageplan Spieler 1'!G16='Lageplan Spieler 1'!$O$8,"✓",IF('Lageplan Spieler 1'!G16='Lageplan Spieler 1'!$O$9,"✓",IF('Lageplan Spieler 1'!G16='Lageplan Spieler 1'!$O$10,"✓",IF('Lageplan Spieler 1'!G16='Lageplan Spieler 1'!$O$11,"✓",IF('Lageplan Spieler 1'!G16='Lageplan Spieler 1'!$O$12,"✓","X"))))))</f>
        <v/>
      </c>
      <c r="T17" s="25" t="str">
        <f>IF('Spielplan Spieler 2'!H17="","",IF('Lageplan Spieler 1'!H16='Lageplan Spieler 1'!$O$8,"✓",IF('Lageplan Spieler 1'!H16='Lageplan Spieler 1'!$O$9,"✓",IF('Lageplan Spieler 1'!H16='Lageplan Spieler 1'!$O$10,"✓",IF('Lageplan Spieler 1'!H16='Lageplan Spieler 1'!$O$11,"✓",IF('Lageplan Spieler 1'!H16='Lageplan Spieler 1'!$O$12,"✓","X"))))))</f>
        <v/>
      </c>
      <c r="U17" s="24" t="str">
        <f>IF('Spielplan Spieler 2'!I17="","",IF('Lageplan Spieler 1'!I16='Lageplan Spieler 1'!$O$8,"✓",IF('Lageplan Spieler 1'!I16='Lageplan Spieler 1'!$O$9,"✓",IF('Lageplan Spieler 1'!I16='Lageplan Spieler 1'!$O$10,"✓",IF('Lageplan Spieler 1'!I16='Lageplan Spieler 1'!$O$11,"✓",IF('Lageplan Spieler 1'!I16='Lageplan Spieler 1'!$O$12,"✓","X"))))))</f>
        <v/>
      </c>
      <c r="V17" s="25" t="str">
        <f>IF('Spielplan Spieler 2'!J17="","",IF('Lageplan Spieler 1'!J16='Lageplan Spieler 1'!$O$8,"✓",IF('Lageplan Spieler 1'!J16='Lageplan Spieler 1'!$O$9,"✓",IF('Lageplan Spieler 1'!J16='Lageplan Spieler 1'!$O$10,"✓",IF('Lageplan Spieler 1'!J16='Lageplan Spieler 1'!$O$11,"✓",IF('Lageplan Spieler 1'!J16='Lageplan Spieler 1'!$O$12,"✓","X"))))))</f>
        <v/>
      </c>
      <c r="W17" s="24" t="str">
        <f>IF('Spielplan Spieler 2'!K17="","",IF('Lageplan Spieler 1'!K16='Lageplan Spieler 1'!$O$8,"✓",IF('Lageplan Spieler 1'!K16='Lageplan Spieler 1'!$O$9,"✓",IF('Lageplan Spieler 1'!K16='Lageplan Spieler 1'!$O$10,"✓",IF('Lageplan Spieler 1'!K16='Lageplan Spieler 1'!$O$11,"✓",IF('Lageplan Spieler 1'!K16='Lageplan Spieler 1'!$O$12,"✓","X"))))))</f>
        <v/>
      </c>
      <c r="X17" s="25" t="str">
        <f>IF('Spielplan Spieler 2'!L17="","",IF('Lageplan Spieler 1'!L16='Lageplan Spieler 1'!$O$8,"✓",IF('Lageplan Spieler 1'!L16='Lageplan Spieler 1'!$O$9,"✓",IF('Lageplan Spieler 1'!L16='Lageplan Spieler 1'!$O$10,"✓",IF('Lageplan Spieler 1'!L16='Lageplan Spieler 1'!$O$11,"✓",IF('Lageplan Spieler 1'!L16='Lageplan Spieler 1'!$O$12,"✓","X"))))))</f>
        <v/>
      </c>
      <c r="Y17" s="11"/>
      <c r="Z17" s="11"/>
      <c r="AA17" s="11"/>
      <c r="AB17" s="11"/>
      <c r="AC17" s="11"/>
    </row>
    <row r="18" spans="1:29" ht="24.95" customHeight="1" x14ac:dyDescent="0.25">
      <c r="A18" s="11"/>
      <c r="B18" s="11"/>
      <c r="C18" s="34"/>
      <c r="D18" s="33"/>
      <c r="E18" s="34"/>
      <c r="F18" s="33"/>
      <c r="G18" s="34"/>
      <c r="H18" s="33"/>
      <c r="I18" s="34"/>
      <c r="J18" s="33"/>
      <c r="K18" s="34"/>
      <c r="L18" s="33"/>
      <c r="M18" s="11"/>
      <c r="N18" s="11"/>
      <c r="O18" s="25" t="str">
        <f>IF('Spielplan Spieler 2'!C18="","",IF('Lageplan Spieler 1'!C17='Lageplan Spieler 1'!$O$8,"✓",IF('Lageplan Spieler 1'!C17='Lageplan Spieler 1'!$O$9,"✓",IF('Lageplan Spieler 1'!C17='Lageplan Spieler 1'!$O$10,"✓",IF('Lageplan Spieler 1'!C17='Lageplan Spieler 1'!$O$11,"✓",IF('Lageplan Spieler 1'!C17='Lageplan Spieler 1'!$O$12,"✓","X"))))))</f>
        <v/>
      </c>
      <c r="P18" s="24" t="str">
        <f>IF('Spielplan Spieler 2'!D18="","",IF('Lageplan Spieler 1'!D17='Lageplan Spieler 1'!$O$8,"✓",IF('Lageplan Spieler 1'!D17='Lageplan Spieler 1'!$O$9,"✓",IF('Lageplan Spieler 1'!D17='Lageplan Spieler 1'!$O$10,"✓",IF('Lageplan Spieler 1'!D17='Lageplan Spieler 1'!$O$11,"✓",IF('Lageplan Spieler 1'!D17='Lageplan Spieler 1'!$O$12,"✓","X"))))))</f>
        <v/>
      </c>
      <c r="Q18" s="25" t="str">
        <f>IF('Spielplan Spieler 2'!E18="","",IF('Lageplan Spieler 1'!E17='Lageplan Spieler 1'!$O$8,"✓",IF('Lageplan Spieler 1'!E17='Lageplan Spieler 1'!$O$9,"✓",IF('Lageplan Spieler 1'!E17='Lageplan Spieler 1'!$O$10,"✓",IF('Lageplan Spieler 1'!E17='Lageplan Spieler 1'!$O$11,"✓",IF('Lageplan Spieler 1'!E17='Lageplan Spieler 1'!$O$12,"✓","X"))))))</f>
        <v/>
      </c>
      <c r="R18" s="24" t="str">
        <f>IF('Spielplan Spieler 2'!F18="","",IF('Lageplan Spieler 1'!F17='Lageplan Spieler 1'!$O$8,"✓",IF('Lageplan Spieler 1'!F17='Lageplan Spieler 1'!$O$9,"✓",IF('Lageplan Spieler 1'!F17='Lageplan Spieler 1'!$O$10,"✓",IF('Lageplan Spieler 1'!F17='Lageplan Spieler 1'!$O$11,"✓",IF('Lageplan Spieler 1'!F17='Lageplan Spieler 1'!$O$12,"✓","X"))))))</f>
        <v/>
      </c>
      <c r="S18" s="25" t="str">
        <f>IF('Spielplan Spieler 2'!G18="","",IF('Lageplan Spieler 1'!G17='Lageplan Spieler 1'!$O$8,"✓",IF('Lageplan Spieler 1'!G17='Lageplan Spieler 1'!$O$9,"✓",IF('Lageplan Spieler 1'!G17='Lageplan Spieler 1'!$O$10,"✓",IF('Lageplan Spieler 1'!G17='Lageplan Spieler 1'!$O$11,"✓",IF('Lageplan Spieler 1'!G17='Lageplan Spieler 1'!$O$12,"✓","X"))))))</f>
        <v/>
      </c>
      <c r="T18" s="24" t="str">
        <f>IF('Spielplan Spieler 2'!H18="","",IF('Lageplan Spieler 1'!H17='Lageplan Spieler 1'!$O$8,"✓",IF('Lageplan Spieler 1'!H17='Lageplan Spieler 1'!$O$9,"✓",IF('Lageplan Spieler 1'!H17='Lageplan Spieler 1'!$O$10,"✓",IF('Lageplan Spieler 1'!H17='Lageplan Spieler 1'!$O$11,"✓",IF('Lageplan Spieler 1'!H17='Lageplan Spieler 1'!$O$12,"✓","X"))))))</f>
        <v/>
      </c>
      <c r="U18" s="25" t="str">
        <f>IF('Spielplan Spieler 2'!I18="","",IF('Lageplan Spieler 1'!I17='Lageplan Spieler 1'!$O$8,"✓",IF('Lageplan Spieler 1'!I17='Lageplan Spieler 1'!$O$9,"✓",IF('Lageplan Spieler 1'!I17='Lageplan Spieler 1'!$O$10,"✓",IF('Lageplan Spieler 1'!I17='Lageplan Spieler 1'!$O$11,"✓",IF('Lageplan Spieler 1'!I17='Lageplan Spieler 1'!$O$12,"✓","X"))))))</f>
        <v/>
      </c>
      <c r="V18" s="24" t="str">
        <f>IF('Spielplan Spieler 2'!J18="","",IF('Lageplan Spieler 1'!J17='Lageplan Spieler 1'!$O$8,"✓",IF('Lageplan Spieler 1'!J17='Lageplan Spieler 1'!$O$9,"✓",IF('Lageplan Spieler 1'!J17='Lageplan Spieler 1'!$O$10,"✓",IF('Lageplan Spieler 1'!J17='Lageplan Spieler 1'!$O$11,"✓",IF('Lageplan Spieler 1'!J17='Lageplan Spieler 1'!$O$12,"✓","X"))))))</f>
        <v/>
      </c>
      <c r="W18" s="25" t="str">
        <f>IF('Spielplan Spieler 2'!K18="","",IF('Lageplan Spieler 1'!K17='Lageplan Spieler 1'!$O$8,"✓",IF('Lageplan Spieler 1'!K17='Lageplan Spieler 1'!$O$9,"✓",IF('Lageplan Spieler 1'!K17='Lageplan Spieler 1'!$O$10,"✓",IF('Lageplan Spieler 1'!K17='Lageplan Spieler 1'!$O$11,"✓",IF('Lageplan Spieler 1'!K17='Lageplan Spieler 1'!$O$12,"✓","X"))))))</f>
        <v/>
      </c>
      <c r="X18" s="24" t="str">
        <f>IF('Spielplan Spieler 2'!L18="","",IF('Lageplan Spieler 1'!L17='Lageplan Spieler 1'!$O$8,"✓",IF('Lageplan Spieler 1'!L17='Lageplan Spieler 1'!$O$9,"✓",IF('Lageplan Spieler 1'!L17='Lageplan Spieler 1'!$O$10,"✓",IF('Lageplan Spieler 1'!L17='Lageplan Spieler 1'!$O$11,"✓",IF('Lageplan Spieler 1'!L17='Lageplan Spieler 1'!$O$12,"✓","X"))))))</f>
        <v/>
      </c>
      <c r="Y18" s="11"/>
      <c r="Z18" s="11"/>
      <c r="AA18" s="11"/>
      <c r="AB18" s="11"/>
      <c r="AC18" s="11"/>
    </row>
    <row r="19" spans="1:29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</sheetData>
  <sheetProtection password="CF7A" sheet="1" objects="1" scenarios="1"/>
  <mergeCells count="10">
    <mergeCell ref="C7:L7"/>
    <mergeCell ref="C3:F4"/>
    <mergeCell ref="G3:K4"/>
    <mergeCell ref="T4:X4"/>
    <mergeCell ref="T5:X5"/>
    <mergeCell ref="S1:X1"/>
    <mergeCell ref="S2:T2"/>
    <mergeCell ref="M3:Q4"/>
    <mergeCell ref="O7:X7"/>
    <mergeCell ref="O8:X8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chaltfläche 1">
              <controlPr locked="0" defaultSize="0" print="0" autoFill="0" autoPict="0" macro="[0]!Spieler2Fertig">
                <anchor moveWithCells="1" sizeWithCells="1">
                  <from>
                    <xdr:col>11</xdr:col>
                    <xdr:colOff>219075</xdr:colOff>
                    <xdr:row>19</xdr:row>
                    <xdr:rowOff>9525</xdr:rowOff>
                  </from>
                  <to>
                    <xdr:col>14</xdr:col>
                    <xdr:colOff>152400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chaltfläche 2">
              <controlPr locked="0" defaultSize="0" print="0" autoFill="0" autoPict="0" macro="[0]!Zurück">
                <anchor moveWithCells="1" sizeWithCells="1">
                  <from>
                    <xdr:col>24</xdr:col>
                    <xdr:colOff>676275</xdr:colOff>
                    <xdr:row>1</xdr:row>
                    <xdr:rowOff>123825</xdr:rowOff>
                  </from>
                  <to>
                    <xdr:col>26</xdr:col>
                    <xdr:colOff>723900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chaltfläche 3">
              <controlPr locked="0" defaultSize="0" print="0" autoFill="0" autoPict="0" macro="[0]!neuesSpiel">
                <anchor moveWithCells="1" sizeWithCells="1">
                  <from>
                    <xdr:col>24</xdr:col>
                    <xdr:colOff>723900</xdr:colOff>
                    <xdr:row>5</xdr:row>
                    <xdr:rowOff>28575</xdr:rowOff>
                  </from>
                  <to>
                    <xdr:col>26</xdr:col>
                    <xdr:colOff>723900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Einstellungen</vt:lpstr>
      <vt:lpstr>Lageplan Spieler 1</vt:lpstr>
      <vt:lpstr>Lageplan Spieler 2</vt:lpstr>
      <vt:lpstr>Spielplan Spieler 1</vt:lpstr>
      <vt:lpstr>Spielplan Spieler 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bbs-me</dc:creator>
  <cp:lastModifiedBy>bbs-me</cp:lastModifiedBy>
  <dcterms:created xsi:type="dcterms:W3CDTF">2018-05-30T10:15:06Z</dcterms:created>
  <dcterms:modified xsi:type="dcterms:W3CDTF">2018-06-06T10:44:06Z</dcterms:modified>
</cp:coreProperties>
</file>